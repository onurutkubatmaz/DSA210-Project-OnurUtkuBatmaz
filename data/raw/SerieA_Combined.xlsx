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erieA_Combined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<sst xmlns="http://schemas.openxmlformats.org/spreadsheetml/2006/main" count="311" uniqueCount="45">
  <si>
    <t xml:space="preserve">Squad</t>
  </si>
  <si>
    <t xml:space="preserve">Season</t>
  </si>
  <si>
    <t xml:space="preserve">League</t>
  </si>
  <si>
    <t xml:space="preserve">Poss (%)</t>
  </si>
  <si>
    <t xml:space="preserve">CrdY</t>
  </si>
  <si>
    <t xml:space="preserve">CrdR</t>
  </si>
  <si>
    <t xml:space="preserve">Discipline Points</t>
  </si>
  <si>
    <t xml:space="preserve">Squad Size (TM)</t>
  </si>
  <si>
    <t xml:space="preserve">Total MV (€M)</t>
  </si>
  <si>
    <t xml:space="preserve">AMV (€M)</t>
  </si>
  <si>
    <t xml:space="preserve">CoA</t>
  </si>
  <si>
    <t xml:space="preserve">Atalanta</t>
  </si>
  <si>
    <t xml:space="preserve">2020-2021</t>
  </si>
  <si>
    <t xml:space="preserve">Serie A</t>
  </si>
  <si>
    <t xml:space="preserve">Benevento</t>
  </si>
  <si>
    <t xml:space="preserve">Bologna</t>
  </si>
  <si>
    <t xml:space="preserve">Cagliari</t>
  </si>
  <si>
    <t xml:space="preserve">Crotone</t>
  </si>
  <si>
    <t xml:space="preserve">Fiorentina</t>
  </si>
  <si>
    <t xml:space="preserve">Genoa</t>
  </si>
  <si>
    <t xml:space="preserve">Hellas Verona</t>
  </si>
  <si>
    <t xml:space="preserve">Inter</t>
  </si>
  <si>
    <t xml:space="preserve">Juventus</t>
  </si>
  <si>
    <t xml:space="preserve">Lazio</t>
  </si>
  <si>
    <t xml:space="preserve">Milan</t>
  </si>
  <si>
    <t xml:space="preserve">Napoli</t>
  </si>
  <si>
    <t xml:space="preserve">Parma</t>
  </si>
  <si>
    <t xml:space="preserve">Roma</t>
  </si>
  <si>
    <t xml:space="preserve">Sampdoria</t>
  </si>
  <si>
    <t xml:space="preserve">Sassuolo</t>
  </si>
  <si>
    <t xml:space="preserve">Spezia</t>
  </si>
  <si>
    <t xml:space="preserve">Torino</t>
  </si>
  <si>
    <t xml:space="preserve">Udinese</t>
  </si>
  <si>
    <t xml:space="preserve">2021-2022</t>
  </si>
  <si>
    <t xml:space="preserve">Empoli</t>
  </si>
  <si>
    <t xml:space="preserve">Salernitana</t>
  </si>
  <si>
    <t xml:space="preserve">Venezia</t>
  </si>
  <si>
    <t xml:space="preserve">2022-2023</t>
  </si>
  <si>
    <t xml:space="preserve">Cremonese</t>
  </si>
  <si>
    <t xml:space="preserve">Lecce</t>
  </si>
  <si>
    <t xml:space="preserve">Monza</t>
  </si>
  <si>
    <t xml:space="preserve">2023-2024</t>
  </si>
  <si>
    <t xml:space="preserve">Frosinone</t>
  </si>
  <si>
    <t xml:space="preserve">2024-2025</t>
  </si>
  <si>
    <t xml:space="preserve">Como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</si>
</sst>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C00000"/>
        <bgColor rgb="FF8000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3" min="2" style="0" width="12"/>
    <col collapsed="false" customWidth="true" hidden="false" outlineLevel="0" max="4" min="4" style="0" width="10"/>
    <col collapsed="false" customWidth="true" hidden="false" outlineLevel="0" max="6" min="5" style="0" width="7"/>
    <col collapsed="false" customWidth="true" hidden="false" outlineLevel="0" max="7" min="7" style="0" width="18"/>
    <col collapsed="false" customWidth="true" hidden="false" outlineLevel="0" max="9" min="8" style="0" width="16"/>
    <col collapsed="false" customWidth="true" hidden="false" outlineLevel="0" max="11" min="10" style="0" width="1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15" hidden="false" customHeight="false" outlineLevel="0" collapsed="false">
      <c r="A2" s="2" t="s">
        <v>11</v>
      </c>
      <c r="B2" s="3" t="s">
        <v>12</v>
      </c>
      <c r="C2" s="3" t="s">
        <v>13</v>
      </c>
      <c r="D2" s="3" t="n">
        <v>54.6</v>
      </c>
      <c r="E2" s="3" t="n">
        <v>67</v>
      </c>
      <c r="F2" s="3" t="n">
        <v>3</v>
      </c>
      <c r="G2" s="3" t="n">
        <f aca="false">E2*1+F2*3</f>
        <v>76</v>
      </c>
      <c r="H2" s="3" t="n">
        <v>39</v>
      </c>
      <c r="I2" s="3" t="n">
        <v>430</v>
      </c>
      <c r="J2" s="3" t="n">
        <v>11.03</v>
      </c>
      <c r="K2" s="3" t="n">
        <f aca="false">IF(AND(G2&lt;&gt;"",J2&lt;&gt;""),G2*J2,"")</f>
        <v>838.28</v>
      </c>
    </row>
    <row r="3" customFormat="false" ht="15" hidden="false" customHeight="false" outlineLevel="0" collapsed="false">
      <c r="A3" s="2" t="s">
        <v>14</v>
      </c>
      <c r="B3" s="3" t="s">
        <v>12</v>
      </c>
      <c r="C3" s="3" t="s">
        <v>13</v>
      </c>
      <c r="D3" s="3" t="n">
        <v>42.6</v>
      </c>
      <c r="E3" s="3" t="n">
        <v>95</v>
      </c>
      <c r="F3" s="3" t="n">
        <v>5</v>
      </c>
      <c r="G3" s="3" t="n">
        <f aca="false">E3*1+F3*3</f>
        <v>110</v>
      </c>
      <c r="H3" s="3" t="n">
        <v>36</v>
      </c>
      <c r="I3" s="3" t="n">
        <v>50.13</v>
      </c>
      <c r="J3" s="3" t="n">
        <v>1.39</v>
      </c>
      <c r="K3" s="3" t="n">
        <f aca="false">IF(AND(G3&lt;&gt;"",J3&lt;&gt;""),G3*J3,"")</f>
        <v>152.9</v>
      </c>
    </row>
    <row r="4" customFormat="false" ht="15" hidden="false" customHeight="false" outlineLevel="0" collapsed="false">
      <c r="A4" s="2" t="s">
        <v>15</v>
      </c>
      <c r="B4" s="3" t="s">
        <v>12</v>
      </c>
      <c r="C4" s="3" t="s">
        <v>13</v>
      </c>
      <c r="D4" s="3" t="n">
        <v>50.8</v>
      </c>
      <c r="E4" s="3" t="n">
        <v>82</v>
      </c>
      <c r="F4" s="3" t="n">
        <v>4</v>
      </c>
      <c r="G4" s="3" t="n">
        <f aca="false">E4*1+F4*3</f>
        <v>94</v>
      </c>
      <c r="H4" s="3" t="n">
        <v>45</v>
      </c>
      <c r="I4" s="3" t="n">
        <v>153.6</v>
      </c>
      <c r="J4" s="3" t="n">
        <v>3.41</v>
      </c>
      <c r="K4" s="3" t="n">
        <f aca="false">IF(AND(G4&lt;&gt;"",J4&lt;&gt;""),G4*J4,"")</f>
        <v>320.54</v>
      </c>
    </row>
    <row r="5" customFormat="false" ht="15" hidden="false" customHeight="false" outlineLevel="0" collapsed="false">
      <c r="A5" s="2" t="s">
        <v>16</v>
      </c>
      <c r="B5" s="3" t="s">
        <v>12</v>
      </c>
      <c r="C5" s="3" t="s">
        <v>13</v>
      </c>
      <c r="D5" s="3" t="n">
        <v>44.8</v>
      </c>
      <c r="E5" s="3" t="n">
        <v>77</v>
      </c>
      <c r="F5" s="3" t="n">
        <v>3</v>
      </c>
      <c r="G5" s="3" t="n">
        <f aca="false">E5*1+F5*3</f>
        <v>86</v>
      </c>
      <c r="H5" s="3" t="n">
        <v>42</v>
      </c>
      <c r="I5" s="3" t="n">
        <v>187.83</v>
      </c>
      <c r="J5" s="3" t="n">
        <v>4.47</v>
      </c>
      <c r="K5" s="3" t="n">
        <f aca="false">IF(AND(G5&lt;&gt;"",J5&lt;&gt;""),G5*J5,"")</f>
        <v>384.42</v>
      </c>
    </row>
    <row r="6" customFormat="false" ht="15" hidden="false" customHeight="false" outlineLevel="0" collapsed="false">
      <c r="A6" s="2" t="s">
        <v>17</v>
      </c>
      <c r="B6" s="3" t="s">
        <v>12</v>
      </c>
      <c r="C6" s="3" t="s">
        <v>13</v>
      </c>
      <c r="D6" s="3" t="n">
        <v>46.3</v>
      </c>
      <c r="E6" s="3" t="n">
        <v>89</v>
      </c>
      <c r="F6" s="3" t="n">
        <v>4</v>
      </c>
      <c r="G6" s="3" t="n">
        <f aca="false">E6*1+F6*3</f>
        <v>101</v>
      </c>
      <c r="H6" s="3" t="n">
        <v>41</v>
      </c>
      <c r="I6" s="3" t="n">
        <v>52.75</v>
      </c>
      <c r="J6" s="3" t="n">
        <v>1.29</v>
      </c>
      <c r="K6" s="3" t="n">
        <f aca="false">IF(AND(G6&lt;&gt;"",J6&lt;&gt;""),G6*J6,"")</f>
        <v>130.29</v>
      </c>
    </row>
    <row r="7" customFormat="false" ht="15" hidden="false" customHeight="false" outlineLevel="0" collapsed="false">
      <c r="A7" s="2" t="s">
        <v>18</v>
      </c>
      <c r="B7" s="3" t="s">
        <v>12</v>
      </c>
      <c r="C7" s="3" t="s">
        <v>13</v>
      </c>
      <c r="D7" s="3" t="n">
        <v>46.3</v>
      </c>
      <c r="E7" s="3" t="n">
        <v>86</v>
      </c>
      <c r="F7" s="3" t="n">
        <v>5</v>
      </c>
      <c r="G7" s="3" t="n">
        <f aca="false">E7*1+F7*3</f>
        <v>101</v>
      </c>
      <c r="H7" s="3" t="n">
        <v>41</v>
      </c>
      <c r="I7" s="3" t="n">
        <v>286.8</v>
      </c>
      <c r="J7" s="3" t="n">
        <v>7</v>
      </c>
      <c r="K7" s="3" t="n">
        <f aca="false">IF(AND(G7&lt;&gt;"",J7&lt;&gt;""),G7*J7,"")</f>
        <v>707</v>
      </c>
    </row>
    <row r="8" customFormat="false" ht="15" hidden="false" customHeight="false" outlineLevel="0" collapsed="false">
      <c r="A8" s="2" t="s">
        <v>19</v>
      </c>
      <c r="B8" s="3" t="s">
        <v>12</v>
      </c>
      <c r="C8" s="3" t="s">
        <v>13</v>
      </c>
      <c r="D8" s="3" t="n">
        <v>44.8</v>
      </c>
      <c r="E8" s="3" t="n">
        <v>87</v>
      </c>
      <c r="F8" s="3" t="n">
        <v>2</v>
      </c>
      <c r="G8" s="3" t="n">
        <f aca="false">E8*1+F8*3</f>
        <v>93</v>
      </c>
      <c r="H8" s="3" t="n">
        <v>44</v>
      </c>
      <c r="I8" s="3" t="n">
        <v>111.93</v>
      </c>
      <c r="J8" s="3" t="n">
        <v>2.54</v>
      </c>
      <c r="K8" s="3" t="n">
        <f aca="false">IF(AND(G8&lt;&gt;"",J8&lt;&gt;""),G8*J8,"")</f>
        <v>236.22</v>
      </c>
    </row>
    <row r="9" customFormat="false" ht="15" hidden="false" customHeight="false" outlineLevel="0" collapsed="false">
      <c r="A9" s="2" t="s">
        <v>20</v>
      </c>
      <c r="B9" s="3" t="s">
        <v>12</v>
      </c>
      <c r="C9" s="3" t="s">
        <v>13</v>
      </c>
      <c r="D9" s="3" t="n">
        <v>49.8</v>
      </c>
      <c r="E9" s="3" t="n">
        <v>91</v>
      </c>
      <c r="F9" s="3" t="n">
        <v>1</v>
      </c>
      <c r="G9" s="3" t="n">
        <f aca="false">E9*1+F9*3</f>
        <v>94</v>
      </c>
      <c r="H9" s="3" t="n">
        <v>46</v>
      </c>
      <c r="I9" s="3" t="n">
        <v>157.21</v>
      </c>
      <c r="J9" s="3" t="n">
        <v>3.42</v>
      </c>
      <c r="K9" s="3" t="n">
        <f aca="false">IF(AND(G9&lt;&gt;"",J9&lt;&gt;""),G9*J9,"")</f>
        <v>321.48</v>
      </c>
    </row>
    <row r="10" customFormat="false" ht="15" hidden="false" customHeight="false" outlineLevel="0" collapsed="false">
      <c r="A10" s="2" t="s">
        <v>21</v>
      </c>
      <c r="B10" s="3" t="s">
        <v>12</v>
      </c>
      <c r="C10" s="3" t="s">
        <v>13</v>
      </c>
      <c r="D10" s="3" t="n">
        <v>52.5</v>
      </c>
      <c r="E10" s="3" t="n">
        <v>61</v>
      </c>
      <c r="F10" s="3" t="n">
        <v>2</v>
      </c>
      <c r="G10" s="3" t="n">
        <f aca="false">E10*1+F10*3</f>
        <v>67</v>
      </c>
      <c r="H10" s="3" t="n">
        <v>41</v>
      </c>
      <c r="I10" s="3" t="n">
        <v>663.9</v>
      </c>
      <c r="J10" s="3" t="n">
        <v>16.19</v>
      </c>
      <c r="K10" s="3" t="n">
        <f aca="false">IF(AND(G10&lt;&gt;"",J10&lt;&gt;""),G10*J10,"")</f>
        <v>1084.73</v>
      </c>
    </row>
    <row r="11" customFormat="false" ht="15" hidden="false" customHeight="false" outlineLevel="0" collapsed="false">
      <c r="A11" s="2" t="s">
        <v>22</v>
      </c>
      <c r="B11" s="3" t="s">
        <v>12</v>
      </c>
      <c r="C11" s="3" t="s">
        <v>13</v>
      </c>
      <c r="D11" s="3" t="n">
        <v>56.9</v>
      </c>
      <c r="E11" s="3" t="n">
        <v>80</v>
      </c>
      <c r="F11" s="3" t="n">
        <v>6</v>
      </c>
      <c r="G11" s="3" t="n">
        <f aca="false">E11*1+F11*3</f>
        <v>98</v>
      </c>
      <c r="H11" s="3" t="n">
        <v>45</v>
      </c>
      <c r="I11" s="3" t="n">
        <v>633.3</v>
      </c>
      <c r="J11" s="3" t="n">
        <v>14.07</v>
      </c>
      <c r="K11" s="3" t="n">
        <f aca="false">IF(AND(G11&lt;&gt;"",J11&lt;&gt;""),G11*J11,"")</f>
        <v>1378.86</v>
      </c>
    </row>
    <row r="12" customFormat="false" ht="15" hidden="false" customHeight="false" outlineLevel="0" collapsed="false">
      <c r="A12" s="2" t="s">
        <v>23</v>
      </c>
      <c r="B12" s="3" t="s">
        <v>12</v>
      </c>
      <c r="C12" s="3" t="s">
        <v>13</v>
      </c>
      <c r="D12" s="3" t="n">
        <v>53</v>
      </c>
      <c r="E12" s="3" t="n">
        <v>107</v>
      </c>
      <c r="F12" s="3" t="n">
        <v>5</v>
      </c>
      <c r="G12" s="3" t="n">
        <f aca="false">E12*1+F12*3</f>
        <v>122</v>
      </c>
      <c r="H12" s="3" t="n">
        <v>44</v>
      </c>
      <c r="I12" s="3" t="n">
        <v>326.33</v>
      </c>
      <c r="J12" s="3" t="n">
        <v>7.42</v>
      </c>
      <c r="K12" s="3" t="n">
        <f aca="false">IF(AND(G12&lt;&gt;"",J12&lt;&gt;""),G12*J12,"")</f>
        <v>905.24</v>
      </c>
    </row>
    <row r="13" customFormat="false" ht="15" hidden="false" customHeight="false" outlineLevel="0" collapsed="false">
      <c r="A13" s="2" t="s">
        <v>24</v>
      </c>
      <c r="B13" s="3" t="s">
        <v>12</v>
      </c>
      <c r="C13" s="3" t="s">
        <v>13</v>
      </c>
      <c r="D13" s="3" t="n">
        <v>51.7</v>
      </c>
      <c r="E13" s="3" t="n">
        <v>83</v>
      </c>
      <c r="F13" s="3" t="n">
        <v>4</v>
      </c>
      <c r="G13" s="3" t="n">
        <f aca="false">E13*1+F13*3</f>
        <v>95</v>
      </c>
      <c r="H13" s="3" t="n">
        <v>42</v>
      </c>
      <c r="I13" s="3" t="n">
        <v>547.78</v>
      </c>
      <c r="J13" s="3" t="n">
        <v>13.04</v>
      </c>
      <c r="K13" s="3" t="n">
        <f aca="false">IF(AND(G13&lt;&gt;"",J13&lt;&gt;""),G13*J13,"")</f>
        <v>1238.8</v>
      </c>
    </row>
    <row r="14" customFormat="false" ht="15" hidden="false" customHeight="false" outlineLevel="0" collapsed="false">
      <c r="A14" s="2" t="s">
        <v>25</v>
      </c>
      <c r="B14" s="3" t="s">
        <v>12</v>
      </c>
      <c r="C14" s="3" t="s">
        <v>13</v>
      </c>
      <c r="D14" s="3" t="n">
        <v>55.1</v>
      </c>
      <c r="E14" s="3" t="n">
        <v>76</v>
      </c>
      <c r="F14" s="3" t="n">
        <v>3</v>
      </c>
      <c r="G14" s="3" t="n">
        <f aca="false">E14*1+F14*3</f>
        <v>85</v>
      </c>
      <c r="H14" s="3" t="n">
        <v>32</v>
      </c>
      <c r="I14" s="3" t="n">
        <v>530.2</v>
      </c>
      <c r="J14" s="3" t="n">
        <v>16.57</v>
      </c>
      <c r="K14" s="3" t="n">
        <f aca="false">IF(AND(G14&lt;&gt;"",J14&lt;&gt;""),G14*J14,"")</f>
        <v>1408.45</v>
      </c>
    </row>
    <row r="15" customFormat="false" ht="15" hidden="false" customHeight="false" outlineLevel="0" collapsed="false">
      <c r="A15" s="2" t="s">
        <v>26</v>
      </c>
      <c r="B15" s="3" t="s">
        <v>12</v>
      </c>
      <c r="C15" s="3" t="s">
        <v>13</v>
      </c>
      <c r="D15" s="3" t="n">
        <v>47.8</v>
      </c>
      <c r="E15" s="3" t="n">
        <v>91</v>
      </c>
      <c r="F15" s="3" t="n">
        <v>1</v>
      </c>
      <c r="G15" s="3" t="n">
        <f aca="false">E15*1+F15*3</f>
        <v>94</v>
      </c>
      <c r="H15" s="3" t="n">
        <v>53</v>
      </c>
      <c r="I15" s="3" t="n">
        <v>128.7</v>
      </c>
      <c r="J15" s="3" t="n">
        <v>2.43</v>
      </c>
      <c r="K15" s="3" t="n">
        <f aca="false">IF(AND(G15&lt;&gt;"",J15&lt;&gt;""),G15*J15,"")</f>
        <v>228.42</v>
      </c>
    </row>
    <row r="16" customFormat="false" ht="15" hidden="false" customHeight="false" outlineLevel="0" collapsed="false">
      <c r="A16" s="2" t="s">
        <v>27</v>
      </c>
      <c r="B16" s="3" t="s">
        <v>12</v>
      </c>
      <c r="C16" s="3" t="s">
        <v>13</v>
      </c>
      <c r="D16" s="3" t="n">
        <v>52.2</v>
      </c>
      <c r="E16" s="3" t="n">
        <v>91</v>
      </c>
      <c r="F16" s="3" t="n">
        <v>3</v>
      </c>
      <c r="G16" s="3" t="n">
        <f aca="false">E16*1+F16*3</f>
        <v>100</v>
      </c>
      <c r="H16" s="3" t="n">
        <v>46</v>
      </c>
      <c r="I16" s="3" t="n">
        <v>395.65</v>
      </c>
      <c r="J16" s="3" t="n">
        <v>8.6</v>
      </c>
      <c r="K16" s="3" t="n">
        <f aca="false">IF(AND(G16&lt;&gt;"",J16&lt;&gt;""),G16*J16,"")</f>
        <v>860</v>
      </c>
    </row>
    <row r="17" customFormat="false" ht="15" hidden="false" customHeight="false" outlineLevel="0" collapsed="false">
      <c r="A17" s="2" t="s">
        <v>28</v>
      </c>
      <c r="B17" s="3" t="s">
        <v>12</v>
      </c>
      <c r="C17" s="3" t="s">
        <v>13</v>
      </c>
      <c r="D17" s="3" t="n">
        <v>45.2</v>
      </c>
      <c r="E17" s="3" t="n">
        <v>83</v>
      </c>
      <c r="F17" s="3" t="n">
        <v>3</v>
      </c>
      <c r="G17" s="3" t="n">
        <f aca="false">E17*1+F17*3</f>
        <v>92</v>
      </c>
      <c r="H17" s="3" t="n">
        <v>34</v>
      </c>
      <c r="I17" s="3" t="n">
        <v>127.18</v>
      </c>
      <c r="J17" s="3" t="n">
        <v>3.74</v>
      </c>
      <c r="K17" s="3" t="n">
        <f aca="false">IF(AND(G17&lt;&gt;"",J17&lt;&gt;""),G17*J17,"")</f>
        <v>344.08</v>
      </c>
    </row>
    <row r="18" customFormat="false" ht="15" hidden="false" customHeight="false" outlineLevel="0" collapsed="false">
      <c r="A18" s="2" t="s">
        <v>29</v>
      </c>
      <c r="B18" s="3" t="s">
        <v>12</v>
      </c>
      <c r="C18" s="3" t="s">
        <v>13</v>
      </c>
      <c r="D18" s="3" t="n">
        <v>60.3</v>
      </c>
      <c r="E18" s="3" t="n">
        <v>79</v>
      </c>
      <c r="F18" s="3" t="n">
        <v>4</v>
      </c>
      <c r="G18" s="3" t="n">
        <f aca="false">E18*1+F18*3</f>
        <v>91</v>
      </c>
      <c r="H18" s="3" t="n">
        <v>39</v>
      </c>
      <c r="I18" s="3" t="n">
        <v>241.74</v>
      </c>
      <c r="J18" s="3" t="n">
        <v>6.2</v>
      </c>
      <c r="K18" s="3" t="n">
        <f aca="false">IF(AND(G18&lt;&gt;"",J18&lt;&gt;""),G18*J18,"")</f>
        <v>564.2</v>
      </c>
    </row>
    <row r="19" customFormat="false" ht="15" hidden="false" customHeight="false" outlineLevel="0" collapsed="false">
      <c r="A19" s="2" t="s">
        <v>30</v>
      </c>
      <c r="B19" s="3" t="s">
        <v>12</v>
      </c>
      <c r="C19" s="3" t="s">
        <v>13</v>
      </c>
      <c r="D19" s="3" t="n">
        <v>51.9</v>
      </c>
      <c r="E19" s="3" t="n">
        <v>100</v>
      </c>
      <c r="F19" s="3" t="n">
        <v>5</v>
      </c>
      <c r="G19" s="3" t="n">
        <f aca="false">E19*1+F19*3</f>
        <v>115</v>
      </c>
      <c r="H19" s="3" t="n">
        <v>39</v>
      </c>
      <c r="I19" s="3" t="n">
        <v>71.68</v>
      </c>
      <c r="J19" s="3" t="n">
        <v>1.84</v>
      </c>
      <c r="K19" s="3" t="n">
        <f aca="false">IF(AND(G19&lt;&gt;"",J19&lt;&gt;""),G19*J19,"")</f>
        <v>211.6</v>
      </c>
    </row>
    <row r="20" customFormat="false" ht="15" hidden="false" customHeight="false" outlineLevel="0" collapsed="false">
      <c r="A20" s="2" t="s">
        <v>31</v>
      </c>
      <c r="B20" s="3" t="s">
        <v>12</v>
      </c>
      <c r="C20" s="3" t="s">
        <v>13</v>
      </c>
      <c r="D20" s="3" t="n">
        <v>47.3</v>
      </c>
      <c r="E20" s="3" t="n">
        <v>78</v>
      </c>
      <c r="F20" s="3" t="n">
        <v>4</v>
      </c>
      <c r="G20" s="3" t="n">
        <f aca="false">E20*1+F20*3</f>
        <v>90</v>
      </c>
      <c r="H20" s="3" t="n">
        <v>40</v>
      </c>
      <c r="I20" s="3" t="n">
        <v>175.28</v>
      </c>
      <c r="J20" s="3" t="n">
        <v>4.38</v>
      </c>
      <c r="K20" s="3" t="n">
        <f aca="false">IF(AND(G20&lt;&gt;"",J20&lt;&gt;""),G20*J20,"")</f>
        <v>394.2</v>
      </c>
    </row>
    <row r="21" customFormat="false" ht="15" hidden="false" customHeight="false" outlineLevel="0" collapsed="false">
      <c r="A21" s="2" t="s">
        <v>32</v>
      </c>
      <c r="B21" s="3" t="s">
        <v>12</v>
      </c>
      <c r="C21" s="3" t="s">
        <v>13</v>
      </c>
      <c r="D21" s="3" t="n">
        <v>46.3</v>
      </c>
      <c r="E21" s="3" t="n">
        <v>65</v>
      </c>
      <c r="F21" s="3" t="n">
        <v>2</v>
      </c>
      <c r="G21" s="3" t="n">
        <f aca="false">E21*1+F21*3</f>
        <v>71</v>
      </c>
      <c r="H21" s="3" t="n">
        <v>42</v>
      </c>
      <c r="I21" s="3" t="n">
        <v>173</v>
      </c>
      <c r="J21" s="3" t="n">
        <v>4.12</v>
      </c>
      <c r="K21" s="3" t="n">
        <f aca="false">IF(AND(G21&lt;&gt;"",J21&lt;&gt;""),G21*J21,"")</f>
        <v>292.52</v>
      </c>
    </row>
    <row r="22" customFormat="false" ht="15" hidden="false" customHeight="false" outlineLevel="0" collapsed="false">
      <c r="A22" s="2" t="s">
        <v>11</v>
      </c>
      <c r="B22" s="3" t="s">
        <v>33</v>
      </c>
      <c r="C22" s="3" t="s">
        <v>13</v>
      </c>
      <c r="D22" s="3" t="n">
        <v>55</v>
      </c>
      <c r="E22" s="3" t="n">
        <v>87</v>
      </c>
      <c r="F22" s="3" t="n">
        <v>2</v>
      </c>
      <c r="G22" s="3" t="n">
        <f aca="false">E22*1+F22*3</f>
        <v>93</v>
      </c>
      <c r="H22" s="3" t="n">
        <v>44</v>
      </c>
      <c r="I22" s="3" t="n">
        <v>398.75</v>
      </c>
      <c r="J22" s="3" t="n">
        <v>9.06</v>
      </c>
      <c r="K22" s="3" t="n">
        <f aca="false">IF(AND(G22&lt;&gt;"",J22&lt;&gt;""),G22*J22,"")</f>
        <v>842.58</v>
      </c>
    </row>
    <row r="23" customFormat="false" ht="15" hidden="false" customHeight="false" outlineLevel="0" collapsed="false">
      <c r="A23" s="2" t="s">
        <v>15</v>
      </c>
      <c r="B23" s="3" t="s">
        <v>33</v>
      </c>
      <c r="C23" s="3" t="s">
        <v>13</v>
      </c>
      <c r="D23" s="3" t="n">
        <v>50.6</v>
      </c>
      <c r="E23" s="3" t="n">
        <v>92</v>
      </c>
      <c r="F23" s="3" t="n">
        <v>7</v>
      </c>
      <c r="G23" s="3" t="n">
        <f aca="false">E23*1+F23*3</f>
        <v>113</v>
      </c>
      <c r="H23" s="3" t="n">
        <v>45</v>
      </c>
      <c r="I23" s="3" t="n">
        <v>186.2</v>
      </c>
      <c r="J23" s="3" t="n">
        <v>4.14</v>
      </c>
      <c r="K23" s="3" t="n">
        <f aca="false">IF(AND(G23&lt;&gt;"",J23&lt;&gt;""),G23*J23,"")</f>
        <v>467.82</v>
      </c>
    </row>
    <row r="24" customFormat="false" ht="15" hidden="false" customHeight="false" outlineLevel="0" collapsed="false">
      <c r="A24" s="2" t="s">
        <v>16</v>
      </c>
      <c r="B24" s="3" t="s">
        <v>33</v>
      </c>
      <c r="C24" s="3" t="s">
        <v>13</v>
      </c>
      <c r="D24" s="3" t="n">
        <v>44.5</v>
      </c>
      <c r="E24" s="3" t="n">
        <v>96</v>
      </c>
      <c r="F24" s="3" t="n">
        <v>5</v>
      </c>
      <c r="G24" s="3" t="n">
        <f aca="false">E24*1+F24*3</f>
        <v>111</v>
      </c>
      <c r="H24" s="3" t="n">
        <v>46</v>
      </c>
      <c r="I24" s="3" t="n">
        <v>134.53</v>
      </c>
      <c r="J24" s="3" t="n">
        <v>2.92</v>
      </c>
      <c r="K24" s="3" t="n">
        <f aca="false">IF(AND(G24&lt;&gt;"",J24&lt;&gt;""),G24*J24,"")</f>
        <v>324.12</v>
      </c>
    </row>
    <row r="25" customFormat="false" ht="15" hidden="false" customHeight="false" outlineLevel="0" collapsed="false">
      <c r="A25" s="2" t="s">
        <v>34</v>
      </c>
      <c r="B25" s="3" t="s">
        <v>33</v>
      </c>
      <c r="C25" s="3" t="s">
        <v>13</v>
      </c>
      <c r="D25" s="3" t="n">
        <v>47.4</v>
      </c>
      <c r="E25" s="3" t="n">
        <v>87</v>
      </c>
      <c r="F25" s="3" t="n">
        <v>5</v>
      </c>
      <c r="G25" s="3" t="n">
        <f aca="false">E25*1+F25*3</f>
        <v>102</v>
      </c>
      <c r="H25" s="3" t="n">
        <v>40</v>
      </c>
      <c r="I25" s="3" t="n">
        <v>126.5</v>
      </c>
      <c r="J25" s="3" t="n">
        <v>3.16</v>
      </c>
      <c r="K25" s="3" t="n">
        <f aca="false">IF(AND(G25&lt;&gt;"",J25&lt;&gt;""),G25*J25,"")</f>
        <v>322.32</v>
      </c>
    </row>
    <row r="26" customFormat="false" ht="15" hidden="false" customHeight="false" outlineLevel="0" collapsed="false">
      <c r="A26" s="2" t="s">
        <v>18</v>
      </c>
      <c r="B26" s="3" t="s">
        <v>33</v>
      </c>
      <c r="C26" s="3" t="s">
        <v>13</v>
      </c>
      <c r="D26" s="3" t="n">
        <v>57.7</v>
      </c>
      <c r="E26" s="3" t="n">
        <v>89</v>
      </c>
      <c r="F26" s="3" t="n">
        <v>8</v>
      </c>
      <c r="G26" s="3" t="n">
        <f aca="false">E26*1+F26*3</f>
        <v>113</v>
      </c>
      <c r="H26" s="3" t="n">
        <v>38</v>
      </c>
      <c r="I26" s="3" t="n">
        <v>325.8</v>
      </c>
      <c r="J26" s="3" t="n">
        <v>8.57</v>
      </c>
      <c r="K26" s="3" t="n">
        <f aca="false">IF(AND(G26&lt;&gt;"",J26&lt;&gt;""),G26*J26,"")</f>
        <v>968.41</v>
      </c>
    </row>
    <row r="27" customFormat="false" ht="15" hidden="false" customHeight="false" outlineLevel="0" collapsed="false">
      <c r="A27" s="2" t="s">
        <v>19</v>
      </c>
      <c r="B27" s="3" t="s">
        <v>33</v>
      </c>
      <c r="C27" s="3" t="s">
        <v>13</v>
      </c>
      <c r="D27" s="3" t="n">
        <v>43.9</v>
      </c>
      <c r="E27" s="3" t="n">
        <v>92</v>
      </c>
      <c r="F27" s="3" t="n">
        <v>3</v>
      </c>
      <c r="G27" s="3" t="n">
        <f aca="false">E27*1+F27*3</f>
        <v>101</v>
      </c>
      <c r="H27" s="3" t="n">
        <v>47</v>
      </c>
      <c r="I27" s="3" t="n">
        <v>121.28</v>
      </c>
      <c r="J27" s="3" t="n">
        <v>2.58</v>
      </c>
      <c r="K27" s="3" t="n">
        <f aca="false">IF(AND(G27&lt;&gt;"",J27&lt;&gt;""),G27*J27,"")</f>
        <v>260.58</v>
      </c>
    </row>
    <row r="28" customFormat="false" ht="15" hidden="false" customHeight="false" outlineLevel="0" collapsed="false">
      <c r="A28" s="2" t="s">
        <v>20</v>
      </c>
      <c r="B28" s="3" t="s">
        <v>33</v>
      </c>
      <c r="C28" s="3" t="s">
        <v>13</v>
      </c>
      <c r="D28" s="3" t="n">
        <v>50.6</v>
      </c>
      <c r="E28" s="3" t="n">
        <v>100</v>
      </c>
      <c r="F28" s="3" t="n">
        <v>7</v>
      </c>
      <c r="G28" s="3" t="n">
        <f aca="false">E28*1+F28*3</f>
        <v>121</v>
      </c>
      <c r="H28" s="3" t="n">
        <v>43</v>
      </c>
      <c r="I28" s="3" t="n">
        <v>162.98</v>
      </c>
      <c r="J28" s="3" t="n">
        <v>3.79</v>
      </c>
      <c r="K28" s="3" t="n">
        <f aca="false">IF(AND(G28&lt;&gt;"",J28&lt;&gt;""),G28*J28,"")</f>
        <v>458.59</v>
      </c>
    </row>
    <row r="29" customFormat="false" ht="15" hidden="false" customHeight="false" outlineLevel="0" collapsed="false">
      <c r="A29" s="2" t="s">
        <v>21</v>
      </c>
      <c r="B29" s="3" t="s">
        <v>33</v>
      </c>
      <c r="C29" s="3" t="s">
        <v>13</v>
      </c>
      <c r="D29" s="3" t="n">
        <v>56.5</v>
      </c>
      <c r="E29" s="3" t="n">
        <v>71</v>
      </c>
      <c r="F29" s="3" t="n">
        <v>0</v>
      </c>
      <c r="G29" s="3" t="n">
        <f aca="false">E29*1+F29*3</f>
        <v>71</v>
      </c>
      <c r="H29" s="3" t="n">
        <v>36</v>
      </c>
      <c r="I29" s="3" t="n">
        <v>558.55</v>
      </c>
      <c r="J29" s="3" t="n">
        <v>15.52</v>
      </c>
      <c r="K29" s="3" t="n">
        <f aca="false">IF(AND(G29&lt;&gt;"",J29&lt;&gt;""),G29*J29,"")</f>
        <v>1101.92</v>
      </c>
    </row>
    <row r="30" customFormat="false" ht="15" hidden="false" customHeight="false" outlineLevel="0" collapsed="false">
      <c r="A30" s="2" t="s">
        <v>22</v>
      </c>
      <c r="B30" s="3" t="s">
        <v>33</v>
      </c>
      <c r="C30" s="3" t="s">
        <v>13</v>
      </c>
      <c r="D30" s="3" t="n">
        <v>51.5</v>
      </c>
      <c r="E30" s="3" t="n">
        <v>77</v>
      </c>
      <c r="F30" s="3" t="n">
        <v>2</v>
      </c>
      <c r="G30" s="3" t="n">
        <f aca="false">E30*1+F30*3</f>
        <v>83</v>
      </c>
      <c r="H30" s="3" t="n">
        <v>43</v>
      </c>
      <c r="I30" s="3" t="n">
        <v>642.5</v>
      </c>
      <c r="J30" s="3" t="n">
        <v>14.94</v>
      </c>
      <c r="K30" s="3" t="n">
        <f aca="false">IF(AND(G30&lt;&gt;"",J30&lt;&gt;""),G30*J30,"")</f>
        <v>1240.02</v>
      </c>
    </row>
    <row r="31" customFormat="false" ht="15" hidden="false" customHeight="false" outlineLevel="0" collapsed="false">
      <c r="A31" s="2" t="s">
        <v>23</v>
      </c>
      <c r="B31" s="3" t="s">
        <v>33</v>
      </c>
      <c r="C31" s="3" t="s">
        <v>13</v>
      </c>
      <c r="D31" s="3" t="n">
        <v>55.4</v>
      </c>
      <c r="E31" s="3" t="n">
        <v>88</v>
      </c>
      <c r="F31" s="3" t="n">
        <v>5</v>
      </c>
      <c r="G31" s="3" t="n">
        <f aca="false">E31*1+F31*3</f>
        <v>103</v>
      </c>
      <c r="H31" s="3" t="n">
        <v>35</v>
      </c>
      <c r="I31" s="3" t="n">
        <v>264.53</v>
      </c>
      <c r="J31" s="3" t="n">
        <v>7.56</v>
      </c>
      <c r="K31" s="3" t="n">
        <f aca="false">IF(AND(G31&lt;&gt;"",J31&lt;&gt;""),G31*J31,"")</f>
        <v>778.68</v>
      </c>
    </row>
    <row r="32" customFormat="false" ht="15" hidden="false" customHeight="false" outlineLevel="0" collapsed="false">
      <c r="A32" s="2" t="s">
        <v>24</v>
      </c>
      <c r="B32" s="3" t="s">
        <v>33</v>
      </c>
      <c r="C32" s="3" t="s">
        <v>13</v>
      </c>
      <c r="D32" s="3" t="n">
        <v>54</v>
      </c>
      <c r="E32" s="3" t="n">
        <v>76</v>
      </c>
      <c r="F32" s="3" t="n">
        <v>3</v>
      </c>
      <c r="G32" s="3" t="n">
        <f aca="false">E32*1+F32*3</f>
        <v>85</v>
      </c>
      <c r="H32" s="3" t="n">
        <v>37</v>
      </c>
      <c r="I32" s="3" t="n">
        <v>546.95</v>
      </c>
      <c r="J32" s="3" t="n">
        <v>14.78</v>
      </c>
      <c r="K32" s="3" t="n">
        <f aca="false">IF(AND(G32&lt;&gt;"",J32&lt;&gt;""),G32*J32,"")</f>
        <v>1256.3</v>
      </c>
    </row>
    <row r="33" customFormat="false" ht="15" hidden="false" customHeight="false" outlineLevel="0" collapsed="false">
      <c r="A33" s="2" t="s">
        <v>25</v>
      </c>
      <c r="B33" s="3" t="s">
        <v>33</v>
      </c>
      <c r="C33" s="3" t="s">
        <v>13</v>
      </c>
      <c r="D33" s="3" t="n">
        <v>58.3</v>
      </c>
      <c r="E33" s="3" t="n">
        <v>63</v>
      </c>
      <c r="F33" s="3" t="n">
        <v>2</v>
      </c>
      <c r="G33" s="3" t="n">
        <f aca="false">E33*1+F33*3</f>
        <v>69</v>
      </c>
      <c r="H33" s="3" t="n">
        <v>37</v>
      </c>
      <c r="I33" s="3" t="n">
        <v>477.23</v>
      </c>
      <c r="J33" s="3" t="n">
        <v>12.9</v>
      </c>
      <c r="K33" s="3" t="n">
        <f aca="false">IF(AND(G33&lt;&gt;"",J33&lt;&gt;""),G33*J33,"")</f>
        <v>890.1</v>
      </c>
    </row>
    <row r="34" customFormat="false" ht="15" hidden="false" customHeight="false" outlineLevel="0" collapsed="false">
      <c r="A34" s="2" t="s">
        <v>27</v>
      </c>
      <c r="B34" s="3" t="s">
        <v>33</v>
      </c>
      <c r="C34" s="3" t="s">
        <v>13</v>
      </c>
      <c r="D34" s="3" t="n">
        <v>51.4</v>
      </c>
      <c r="E34" s="3" t="n">
        <v>111</v>
      </c>
      <c r="F34" s="3" t="n">
        <v>8</v>
      </c>
      <c r="G34" s="3" t="n">
        <f aca="false">E34*1+F34*3</f>
        <v>135</v>
      </c>
      <c r="H34" s="3" t="n">
        <v>39</v>
      </c>
      <c r="I34" s="3" t="n">
        <v>381.25</v>
      </c>
      <c r="J34" s="3" t="n">
        <v>9.78</v>
      </c>
      <c r="K34" s="3" t="n">
        <f aca="false">IF(AND(G34&lt;&gt;"",J34&lt;&gt;""),G34*J34,"")</f>
        <v>1320.3</v>
      </c>
    </row>
    <row r="35" customFormat="false" ht="15" hidden="false" customHeight="false" outlineLevel="0" collapsed="false">
      <c r="A35" s="2" t="s">
        <v>35</v>
      </c>
      <c r="B35" s="3" t="s">
        <v>33</v>
      </c>
      <c r="C35" s="3" t="s">
        <v>13</v>
      </c>
      <c r="D35" s="3" t="n">
        <v>41.2</v>
      </c>
      <c r="E35" s="3" t="n">
        <v>94</v>
      </c>
      <c r="F35" s="3" t="n">
        <v>5</v>
      </c>
      <c r="G35" s="3" t="n">
        <f aca="false">E35*1+F35*3</f>
        <v>109</v>
      </c>
      <c r="H35" s="3" t="n">
        <v>51</v>
      </c>
      <c r="I35" s="3" t="n">
        <v>70.56</v>
      </c>
      <c r="J35" s="3" t="n">
        <v>1.38</v>
      </c>
      <c r="K35" s="3" t="n">
        <f aca="false">IF(AND(G35&lt;&gt;"",J35&lt;&gt;""),G35*J35,"")</f>
        <v>150.42</v>
      </c>
    </row>
    <row r="36" customFormat="false" ht="15" hidden="false" customHeight="false" outlineLevel="0" collapsed="false">
      <c r="A36" s="2" t="s">
        <v>28</v>
      </c>
      <c r="B36" s="3" t="s">
        <v>33</v>
      </c>
      <c r="C36" s="3" t="s">
        <v>13</v>
      </c>
      <c r="D36" s="3" t="n">
        <v>46.1</v>
      </c>
      <c r="E36" s="3" t="n">
        <v>94</v>
      </c>
      <c r="F36" s="3" t="n">
        <v>4</v>
      </c>
      <c r="G36" s="3" t="n">
        <f aca="false">E36*1+F36*3</f>
        <v>106</v>
      </c>
      <c r="H36" s="3" t="n">
        <v>46</v>
      </c>
      <c r="I36" s="3" t="n">
        <v>128.55</v>
      </c>
      <c r="J36" s="3" t="n">
        <v>2.79</v>
      </c>
      <c r="K36" s="3" t="n">
        <f aca="false">IF(AND(G36&lt;&gt;"",J36&lt;&gt;""),G36*J36,"")</f>
        <v>295.74</v>
      </c>
    </row>
    <row r="37" customFormat="false" ht="15" hidden="false" customHeight="false" outlineLevel="0" collapsed="false">
      <c r="A37" s="2" t="s">
        <v>29</v>
      </c>
      <c r="B37" s="3" t="s">
        <v>33</v>
      </c>
      <c r="C37" s="3" t="s">
        <v>13</v>
      </c>
      <c r="D37" s="3" t="n">
        <v>54.9</v>
      </c>
      <c r="E37" s="3" t="n">
        <v>92</v>
      </c>
      <c r="F37" s="3" t="n">
        <v>4</v>
      </c>
      <c r="G37" s="3" t="n">
        <f aca="false">E37*1+F37*3</f>
        <v>104</v>
      </c>
      <c r="H37" s="3" t="n">
        <v>43</v>
      </c>
      <c r="I37" s="3" t="n">
        <v>251</v>
      </c>
      <c r="J37" s="3" t="n">
        <v>5.84</v>
      </c>
      <c r="K37" s="3" t="n">
        <f aca="false">IF(AND(G37&lt;&gt;"",J37&lt;&gt;""),G37*J37,"")</f>
        <v>607.36</v>
      </c>
    </row>
    <row r="38" customFormat="false" ht="15" hidden="false" customHeight="false" outlineLevel="0" collapsed="false">
      <c r="A38" s="2" t="s">
        <v>30</v>
      </c>
      <c r="B38" s="3" t="s">
        <v>33</v>
      </c>
      <c r="C38" s="3" t="s">
        <v>13</v>
      </c>
      <c r="D38" s="3" t="n">
        <v>42.7</v>
      </c>
      <c r="E38" s="3" t="n">
        <v>88</v>
      </c>
      <c r="F38" s="3" t="n">
        <v>4</v>
      </c>
      <c r="G38" s="3" t="n">
        <f aca="false">E38*1+F38*3</f>
        <v>100</v>
      </c>
      <c r="H38" s="3" t="n">
        <v>34</v>
      </c>
      <c r="I38" s="3" t="n">
        <v>78.5</v>
      </c>
      <c r="J38" s="3" t="n">
        <v>2.31</v>
      </c>
      <c r="K38" s="3" t="n">
        <f aca="false">IF(AND(G38&lt;&gt;"",J38&lt;&gt;""),G38*J38,"")</f>
        <v>231</v>
      </c>
    </row>
    <row r="39" customFormat="false" ht="15" hidden="false" customHeight="false" outlineLevel="0" collapsed="false">
      <c r="A39" s="2" t="s">
        <v>31</v>
      </c>
      <c r="B39" s="3" t="s">
        <v>33</v>
      </c>
      <c r="C39" s="3" t="s">
        <v>13</v>
      </c>
      <c r="D39" s="3" t="n">
        <v>53.3</v>
      </c>
      <c r="E39" s="3" t="n">
        <v>89</v>
      </c>
      <c r="F39" s="3" t="n">
        <v>3</v>
      </c>
      <c r="G39" s="3" t="n">
        <f aca="false">E39*1+F39*3</f>
        <v>98</v>
      </c>
      <c r="H39" s="3" t="n">
        <v>41</v>
      </c>
      <c r="I39" s="3" t="n">
        <v>223.4</v>
      </c>
      <c r="J39" s="3" t="n">
        <v>5.45</v>
      </c>
      <c r="K39" s="3" t="n">
        <f aca="false">IF(AND(G39&lt;&gt;"",J39&lt;&gt;""),G39*J39,"")</f>
        <v>534.1</v>
      </c>
    </row>
    <row r="40" customFormat="false" ht="15" hidden="false" customHeight="false" outlineLevel="0" collapsed="false">
      <c r="A40" s="2" t="s">
        <v>32</v>
      </c>
      <c r="B40" s="3" t="s">
        <v>33</v>
      </c>
      <c r="C40" s="3" t="s">
        <v>13</v>
      </c>
      <c r="D40" s="3" t="n">
        <v>42.7</v>
      </c>
      <c r="E40" s="3" t="n">
        <v>95</v>
      </c>
      <c r="F40" s="3" t="n">
        <v>6</v>
      </c>
      <c r="G40" s="3" t="n">
        <f aca="false">E40*1+F40*3</f>
        <v>113</v>
      </c>
      <c r="H40" s="3" t="n">
        <v>44</v>
      </c>
      <c r="I40" s="3" t="n">
        <v>142.3</v>
      </c>
      <c r="J40" s="3" t="n">
        <v>3.23</v>
      </c>
      <c r="K40" s="3" t="n">
        <f aca="false">IF(AND(G40&lt;&gt;"",J40&lt;&gt;""),G40*J40,"")</f>
        <v>364.99</v>
      </c>
    </row>
    <row r="41" customFormat="false" ht="15" hidden="false" customHeight="false" outlineLevel="0" collapsed="false">
      <c r="A41" s="2" t="s">
        <v>36</v>
      </c>
      <c r="B41" s="3" t="s">
        <v>33</v>
      </c>
      <c r="C41" s="3" t="s">
        <v>13</v>
      </c>
      <c r="D41" s="3" t="n">
        <v>42.3</v>
      </c>
      <c r="E41" s="3" t="n">
        <v>110</v>
      </c>
      <c r="F41" s="3" t="n">
        <v>9</v>
      </c>
      <c r="G41" s="3" t="n">
        <f aca="false">E41*1+F41*3</f>
        <v>137</v>
      </c>
      <c r="H41" s="3" t="n">
        <v>51</v>
      </c>
      <c r="I41" s="3" t="n">
        <v>80.98</v>
      </c>
      <c r="J41" s="3" t="n">
        <v>1.59</v>
      </c>
      <c r="K41" s="3" t="n">
        <f aca="false">IF(AND(G41&lt;&gt;"",J41&lt;&gt;""),G41*J41,"")</f>
        <v>217.83</v>
      </c>
    </row>
    <row r="42" customFormat="false" ht="15" hidden="false" customHeight="false" outlineLevel="0" collapsed="false">
      <c r="A42" s="2" t="s">
        <v>11</v>
      </c>
      <c r="B42" s="3" t="s">
        <v>37</v>
      </c>
      <c r="C42" s="3" t="s">
        <v>13</v>
      </c>
      <c r="D42" s="3" t="n">
        <v>59.9</v>
      </c>
      <c r="E42" s="3" t="n">
        <v>83</v>
      </c>
      <c r="F42" s="3" t="n">
        <v>3</v>
      </c>
      <c r="G42" s="3" t="n">
        <f aca="false">E42*1+F42*3</f>
        <v>92</v>
      </c>
      <c r="H42" s="3" t="n">
        <v>38</v>
      </c>
      <c r="I42" s="3" t="n">
        <v>338.38</v>
      </c>
      <c r="J42" s="3" t="n">
        <v>8.9</v>
      </c>
      <c r="K42" s="3" t="n">
        <f aca="false">IF(AND(G42&lt;&gt;"",J42&lt;&gt;""),G42*J42,"")</f>
        <v>818.8</v>
      </c>
    </row>
    <row r="43" customFormat="false" ht="15" hidden="false" customHeight="false" outlineLevel="0" collapsed="false">
      <c r="A43" s="2" t="s">
        <v>15</v>
      </c>
      <c r="B43" s="3" t="s">
        <v>37</v>
      </c>
      <c r="C43" s="3" t="s">
        <v>13</v>
      </c>
      <c r="D43" s="3" t="n">
        <v>54.7</v>
      </c>
      <c r="E43" s="3" t="n">
        <v>84</v>
      </c>
      <c r="F43" s="3" t="n">
        <v>3</v>
      </c>
      <c r="G43" s="3" t="n">
        <f aca="false">E43*1+F43*3</f>
        <v>93</v>
      </c>
      <c r="H43" s="3" t="n">
        <v>38</v>
      </c>
      <c r="I43" s="3" t="n">
        <v>153.63</v>
      </c>
      <c r="J43" s="3" t="n">
        <v>4.04</v>
      </c>
      <c r="K43" s="3" t="n">
        <f aca="false">IF(AND(G43&lt;&gt;"",J43&lt;&gt;""),G43*J43,"")</f>
        <v>375.72</v>
      </c>
    </row>
    <row r="44" customFormat="false" ht="15" hidden="false" customHeight="false" outlineLevel="0" collapsed="false">
      <c r="A44" s="2" t="s">
        <v>38</v>
      </c>
      <c r="B44" s="3" t="s">
        <v>37</v>
      </c>
      <c r="C44" s="3" t="s">
        <v>13</v>
      </c>
      <c r="D44" s="3" t="n">
        <v>42.1</v>
      </c>
      <c r="E44" s="3" t="n">
        <v>81</v>
      </c>
      <c r="F44" s="3" t="n">
        <v>3</v>
      </c>
      <c r="G44" s="3" t="n">
        <f aca="false">E44*1+F44*3</f>
        <v>90</v>
      </c>
      <c r="H44" s="3" t="n">
        <v>42</v>
      </c>
      <c r="I44" s="3" t="n">
        <v>83.78</v>
      </c>
      <c r="J44" s="3" t="n">
        <v>1.99</v>
      </c>
      <c r="K44" s="3" t="n">
        <f aca="false">IF(AND(G44&lt;&gt;"",J44&lt;&gt;""),G44*J44,"")</f>
        <v>179.1</v>
      </c>
    </row>
    <row r="45" customFormat="false" ht="15" hidden="false" customHeight="false" outlineLevel="0" collapsed="false">
      <c r="A45" s="2" t="s">
        <v>34</v>
      </c>
      <c r="B45" s="3" t="s">
        <v>37</v>
      </c>
      <c r="C45" s="3" t="s">
        <v>13</v>
      </c>
      <c r="D45" s="3" t="n">
        <v>47.3</v>
      </c>
      <c r="E45" s="3" t="n">
        <v>88</v>
      </c>
      <c r="F45" s="3" t="n">
        <v>7</v>
      </c>
      <c r="G45" s="3" t="n">
        <f aca="false">E45*1+F45*3</f>
        <v>109</v>
      </c>
      <c r="H45" s="3" t="n">
        <v>44</v>
      </c>
      <c r="I45" s="3" t="n">
        <v>125.53</v>
      </c>
      <c r="J45" s="3" t="n">
        <v>2.85</v>
      </c>
      <c r="K45" s="3" t="n">
        <f aca="false">IF(AND(G45&lt;&gt;"",J45&lt;&gt;""),G45*J45,"")</f>
        <v>310.65</v>
      </c>
    </row>
    <row r="46" customFormat="false" ht="15" hidden="false" customHeight="false" outlineLevel="0" collapsed="false">
      <c r="A46" s="2" t="s">
        <v>18</v>
      </c>
      <c r="B46" s="3" t="s">
        <v>37</v>
      </c>
      <c r="C46" s="3" t="s">
        <v>13</v>
      </c>
      <c r="D46" s="3" t="n">
        <v>56.1</v>
      </c>
      <c r="E46" s="3" t="n">
        <v>93</v>
      </c>
      <c r="F46" s="3" t="n">
        <v>3</v>
      </c>
      <c r="G46" s="3" t="n">
        <f aca="false">E46*1+F46*3</f>
        <v>102</v>
      </c>
      <c r="H46" s="3" t="n">
        <v>38</v>
      </c>
      <c r="I46" s="3" t="n">
        <v>258.8</v>
      </c>
      <c r="J46" s="3" t="n">
        <v>6.81</v>
      </c>
      <c r="K46" s="3" t="n">
        <f aca="false">IF(AND(G46&lt;&gt;"",J46&lt;&gt;""),G46*J46,"")</f>
        <v>694.62</v>
      </c>
    </row>
    <row r="47" customFormat="false" ht="15" hidden="false" customHeight="false" outlineLevel="0" collapsed="false">
      <c r="A47" s="2" t="s">
        <v>20</v>
      </c>
      <c r="B47" s="3" t="s">
        <v>37</v>
      </c>
      <c r="C47" s="3" t="s">
        <v>13</v>
      </c>
      <c r="D47" s="3" t="n">
        <v>41.2</v>
      </c>
      <c r="E47" s="3" t="n">
        <v>103</v>
      </c>
      <c r="F47" s="3" t="n">
        <v>3</v>
      </c>
      <c r="G47" s="3" t="n">
        <f aca="false">E47*1+F47*3</f>
        <v>112</v>
      </c>
      <c r="H47" s="3" t="n">
        <v>46</v>
      </c>
      <c r="I47" s="3" t="n">
        <v>123.89</v>
      </c>
      <c r="J47" s="3" t="n">
        <v>2.69</v>
      </c>
      <c r="K47" s="3" t="n">
        <f aca="false">IF(AND(G47&lt;&gt;"",J47&lt;&gt;""),G47*J47,"")</f>
        <v>301.28</v>
      </c>
    </row>
    <row r="48" customFormat="false" ht="15" hidden="false" customHeight="false" outlineLevel="0" collapsed="false">
      <c r="A48" s="2" t="s">
        <v>21</v>
      </c>
      <c r="B48" s="3" t="s">
        <v>37</v>
      </c>
      <c r="C48" s="3" t="s">
        <v>13</v>
      </c>
      <c r="D48" s="3" t="n">
        <v>55.7</v>
      </c>
      <c r="E48" s="3" t="n">
        <v>65</v>
      </c>
      <c r="F48" s="3" t="n">
        <v>3</v>
      </c>
      <c r="G48" s="3" t="n">
        <f aca="false">E48*1+F48*3</f>
        <v>74</v>
      </c>
      <c r="H48" s="3" t="n">
        <v>35</v>
      </c>
      <c r="I48" s="3" t="n">
        <v>567.55</v>
      </c>
      <c r="J48" s="3" t="n">
        <v>16.22</v>
      </c>
      <c r="K48" s="3" t="n">
        <f aca="false">IF(AND(G48&lt;&gt;"",J48&lt;&gt;""),G48*J48,"")</f>
        <v>1200.28</v>
      </c>
    </row>
    <row r="49" customFormat="false" ht="15" hidden="false" customHeight="false" outlineLevel="0" collapsed="false">
      <c r="A49" s="2" t="s">
        <v>22</v>
      </c>
      <c r="B49" s="3" t="s">
        <v>37</v>
      </c>
      <c r="C49" s="3" t="s">
        <v>13</v>
      </c>
      <c r="D49" s="3" t="n">
        <v>49.6</v>
      </c>
      <c r="E49" s="3" t="n">
        <v>74</v>
      </c>
      <c r="F49" s="3" t="n">
        <v>6</v>
      </c>
      <c r="G49" s="3" t="n">
        <f aca="false">E49*1+F49*3</f>
        <v>92</v>
      </c>
      <c r="H49" s="3" t="n">
        <v>40</v>
      </c>
      <c r="I49" s="3" t="n">
        <v>483.13</v>
      </c>
      <c r="J49" s="3" t="n">
        <v>12.08</v>
      </c>
      <c r="K49" s="3" t="n">
        <f aca="false">IF(AND(G49&lt;&gt;"",J49&lt;&gt;""),G49*J49,"")</f>
        <v>1111.36</v>
      </c>
    </row>
    <row r="50" customFormat="false" ht="15" hidden="false" customHeight="false" outlineLevel="0" collapsed="false">
      <c r="A50" s="2" t="s">
        <v>23</v>
      </c>
      <c r="B50" s="3" t="s">
        <v>37</v>
      </c>
      <c r="C50" s="3" t="s">
        <v>13</v>
      </c>
      <c r="D50" s="3" t="n">
        <v>52.1</v>
      </c>
      <c r="E50" s="3" t="n">
        <v>87</v>
      </c>
      <c r="F50" s="3" t="n">
        <v>2</v>
      </c>
      <c r="G50" s="3" t="n">
        <f aca="false">E50*1+F50*3</f>
        <v>93</v>
      </c>
      <c r="H50" s="3" t="n">
        <v>33</v>
      </c>
      <c r="I50" s="3" t="n">
        <v>266.43</v>
      </c>
      <c r="J50" s="3" t="n">
        <v>8.07</v>
      </c>
      <c r="K50" s="3" t="n">
        <f aca="false">IF(AND(G50&lt;&gt;"",J50&lt;&gt;""),G50*J50,"")</f>
        <v>750.51</v>
      </c>
    </row>
    <row r="51" customFormat="false" ht="15" hidden="false" customHeight="false" outlineLevel="0" collapsed="false">
      <c r="A51" s="2" t="s">
        <v>39</v>
      </c>
      <c r="B51" s="3" t="s">
        <v>37</v>
      </c>
      <c r="C51" s="3" t="s">
        <v>13</v>
      </c>
      <c r="D51" s="3" t="n">
        <v>41.3</v>
      </c>
      <c r="E51" s="3" t="n">
        <v>86</v>
      </c>
      <c r="F51" s="3" t="n">
        <v>2</v>
      </c>
      <c r="G51" s="3" t="n">
        <f aca="false">E51*1+F51*3</f>
        <v>92</v>
      </c>
      <c r="H51" s="3" t="n">
        <v>39</v>
      </c>
      <c r="I51" s="3" t="n">
        <v>105.2</v>
      </c>
      <c r="J51" s="3" t="n">
        <v>2.7</v>
      </c>
      <c r="K51" s="3" t="n">
        <f aca="false">IF(AND(G51&lt;&gt;"",J51&lt;&gt;""),G51*J51,"")</f>
        <v>248.4</v>
      </c>
    </row>
    <row r="52" customFormat="false" ht="15" hidden="false" customHeight="false" outlineLevel="0" collapsed="false">
      <c r="A52" s="2" t="s">
        <v>24</v>
      </c>
      <c r="B52" s="3" t="s">
        <v>37</v>
      </c>
      <c r="C52" s="3" t="s">
        <v>13</v>
      </c>
      <c r="D52" s="3" t="n">
        <v>55.6</v>
      </c>
      <c r="E52" s="3" t="n">
        <v>90</v>
      </c>
      <c r="F52" s="3" t="n">
        <v>2</v>
      </c>
      <c r="G52" s="3" t="n">
        <f aca="false">E52*1+F52*3</f>
        <v>96</v>
      </c>
      <c r="H52" s="3" t="n">
        <v>36</v>
      </c>
      <c r="I52" s="3" t="n">
        <v>545.1</v>
      </c>
      <c r="J52" s="3" t="n">
        <v>15.14</v>
      </c>
      <c r="K52" s="3" t="n">
        <f aca="false">IF(AND(G52&lt;&gt;"",J52&lt;&gt;""),G52*J52,"")</f>
        <v>1453.44</v>
      </c>
    </row>
    <row r="53" customFormat="false" ht="15" hidden="false" customHeight="false" outlineLevel="0" collapsed="false">
      <c r="A53" s="2" t="s">
        <v>40</v>
      </c>
      <c r="B53" s="3" t="s">
        <v>37</v>
      </c>
      <c r="C53" s="3" t="s">
        <v>13</v>
      </c>
      <c r="D53" s="3" t="n">
        <v>55.2</v>
      </c>
      <c r="E53" s="3" t="n">
        <v>90</v>
      </c>
      <c r="F53" s="3" t="n">
        <v>4</v>
      </c>
      <c r="G53" s="3" t="n">
        <f aca="false">E53*1+F53*3</f>
        <v>102</v>
      </c>
      <c r="H53" s="3" t="n">
        <v>41</v>
      </c>
      <c r="I53" s="3" t="n">
        <v>135.7</v>
      </c>
      <c r="J53" s="3" t="n">
        <v>3.31</v>
      </c>
      <c r="K53" s="3" t="n">
        <f aca="false">IF(AND(G53&lt;&gt;"",J53&lt;&gt;""),G53*J53,"")</f>
        <v>337.62</v>
      </c>
    </row>
    <row r="54" customFormat="false" ht="15" hidden="false" customHeight="false" outlineLevel="0" collapsed="false">
      <c r="A54" s="2" t="s">
        <v>25</v>
      </c>
      <c r="B54" s="3" t="s">
        <v>37</v>
      </c>
      <c r="C54" s="3" t="s">
        <v>13</v>
      </c>
      <c r="D54" s="3" t="n">
        <v>61.8</v>
      </c>
      <c r="E54" s="3" t="n">
        <v>47</v>
      </c>
      <c r="F54" s="3" t="n">
        <v>1</v>
      </c>
      <c r="G54" s="3" t="n">
        <f aca="false">E54*1+F54*3</f>
        <v>50</v>
      </c>
      <c r="H54" s="3" t="n">
        <v>31</v>
      </c>
      <c r="I54" s="3" t="n">
        <v>654.08</v>
      </c>
      <c r="J54" s="3" t="n">
        <v>21.1</v>
      </c>
      <c r="K54" s="3" t="n">
        <f aca="false">IF(AND(G54&lt;&gt;"",J54&lt;&gt;""),G54*J54,"")</f>
        <v>1055</v>
      </c>
    </row>
    <row r="55" customFormat="false" ht="15" hidden="false" customHeight="false" outlineLevel="0" collapsed="false">
      <c r="A55" s="2" t="s">
        <v>27</v>
      </c>
      <c r="B55" s="3" t="s">
        <v>37</v>
      </c>
      <c r="C55" s="3" t="s">
        <v>13</v>
      </c>
      <c r="D55" s="3" t="n">
        <v>48.6</v>
      </c>
      <c r="E55" s="3" t="n">
        <v>83</v>
      </c>
      <c r="F55" s="3" t="n">
        <v>4</v>
      </c>
      <c r="G55" s="3" t="n">
        <f aca="false">E55*1+F55*3</f>
        <v>95</v>
      </c>
      <c r="H55" s="3" t="n">
        <v>47</v>
      </c>
      <c r="I55" s="3" t="n">
        <v>361.38</v>
      </c>
      <c r="J55" s="3" t="n">
        <v>7.69</v>
      </c>
      <c r="K55" s="3" t="n">
        <f aca="false">IF(AND(G55&lt;&gt;"",J55&lt;&gt;""),G55*J55,"")</f>
        <v>730.55</v>
      </c>
    </row>
    <row r="56" customFormat="false" ht="15" hidden="false" customHeight="false" outlineLevel="0" collapsed="false">
      <c r="A56" s="2" t="s">
        <v>35</v>
      </c>
      <c r="B56" s="3" t="s">
        <v>37</v>
      </c>
      <c r="C56" s="3" t="s">
        <v>13</v>
      </c>
      <c r="D56" s="3" t="n">
        <v>44.9</v>
      </c>
      <c r="E56" s="3" t="n">
        <v>85</v>
      </c>
      <c r="F56" s="3" t="n">
        <v>4</v>
      </c>
      <c r="G56" s="3" t="n">
        <f aca="false">E56*1+F56*3</f>
        <v>97</v>
      </c>
      <c r="H56" s="3" t="n">
        <v>45</v>
      </c>
      <c r="I56" s="3" t="n">
        <v>118.35</v>
      </c>
      <c r="J56" s="3" t="n">
        <v>2.63</v>
      </c>
      <c r="K56" s="3" t="n">
        <f aca="false">IF(AND(G56&lt;&gt;"",J56&lt;&gt;""),G56*J56,"")</f>
        <v>255.11</v>
      </c>
    </row>
    <row r="57" customFormat="false" ht="15" hidden="false" customHeight="false" outlineLevel="0" collapsed="false">
      <c r="A57" s="2" t="s">
        <v>28</v>
      </c>
      <c r="B57" s="3" t="s">
        <v>37</v>
      </c>
      <c r="C57" s="3" t="s">
        <v>13</v>
      </c>
      <c r="D57" s="3" t="n">
        <v>46.1</v>
      </c>
      <c r="E57" s="3" t="n">
        <v>108</v>
      </c>
      <c r="F57" s="3" t="n">
        <v>3</v>
      </c>
      <c r="G57" s="3" t="n">
        <f aca="false">E57*1+F57*3</f>
        <v>117</v>
      </c>
      <c r="H57" s="3" t="n">
        <v>48</v>
      </c>
      <c r="I57" s="3" t="n">
        <v>82.96</v>
      </c>
      <c r="J57" s="3" t="n">
        <v>1.73</v>
      </c>
      <c r="K57" s="3" t="n">
        <f aca="false">IF(AND(G57&lt;&gt;"",J57&lt;&gt;""),G57*J57,"")</f>
        <v>202.41</v>
      </c>
    </row>
    <row r="58" customFormat="false" ht="15" hidden="false" customHeight="false" outlineLevel="0" collapsed="false">
      <c r="A58" s="2" t="s">
        <v>29</v>
      </c>
      <c r="B58" s="3" t="s">
        <v>37</v>
      </c>
      <c r="C58" s="3" t="s">
        <v>13</v>
      </c>
      <c r="D58" s="3" t="n">
        <v>49.2</v>
      </c>
      <c r="E58" s="3" t="n">
        <v>90</v>
      </c>
      <c r="F58" s="3" t="n">
        <v>6</v>
      </c>
      <c r="G58" s="3" t="n">
        <f aca="false">E58*1+F58*3</f>
        <v>108</v>
      </c>
      <c r="H58" s="3" t="n">
        <v>35</v>
      </c>
      <c r="I58" s="3" t="n">
        <v>232.2</v>
      </c>
      <c r="J58" s="3" t="n">
        <v>6.63</v>
      </c>
      <c r="K58" s="3" t="n">
        <f aca="false">IF(AND(G58&lt;&gt;"",J58&lt;&gt;""),G58*J58,"")</f>
        <v>716.04</v>
      </c>
    </row>
    <row r="59" customFormat="false" ht="15" hidden="false" customHeight="false" outlineLevel="0" collapsed="false">
      <c r="A59" s="2" t="s">
        <v>30</v>
      </c>
      <c r="B59" s="3" t="s">
        <v>37</v>
      </c>
      <c r="C59" s="3" t="s">
        <v>13</v>
      </c>
      <c r="D59" s="3" t="n">
        <v>47.4</v>
      </c>
      <c r="E59" s="3" t="n">
        <v>103</v>
      </c>
      <c r="F59" s="3" t="n">
        <v>6</v>
      </c>
      <c r="G59" s="3" t="n">
        <f aca="false">E59*1+F59*3</f>
        <v>121</v>
      </c>
      <c r="H59" s="3" t="n">
        <v>48</v>
      </c>
      <c r="I59" s="3" t="n">
        <v>115.81</v>
      </c>
      <c r="J59" s="3" t="n">
        <v>2.41</v>
      </c>
      <c r="K59" s="3" t="n">
        <f aca="false">IF(AND(G59&lt;&gt;"",J59&lt;&gt;""),G59*J59,"")</f>
        <v>291.61</v>
      </c>
    </row>
    <row r="60" customFormat="false" ht="15" hidden="false" customHeight="false" outlineLevel="0" collapsed="false">
      <c r="A60" s="2" t="s">
        <v>31</v>
      </c>
      <c r="B60" s="3" t="s">
        <v>37</v>
      </c>
      <c r="C60" s="3" t="s">
        <v>13</v>
      </c>
      <c r="D60" s="3" t="n">
        <v>53.2</v>
      </c>
      <c r="E60" s="3" t="n">
        <v>81</v>
      </c>
      <c r="F60" s="3" t="n">
        <v>0</v>
      </c>
      <c r="G60" s="3" t="n">
        <f aca="false">E60*1+F60*3</f>
        <v>81</v>
      </c>
      <c r="H60" s="3" t="n">
        <v>38</v>
      </c>
      <c r="I60" s="3" t="n">
        <v>197.19</v>
      </c>
      <c r="J60" s="3" t="n">
        <v>5.19</v>
      </c>
      <c r="K60" s="3" t="n">
        <f aca="false">IF(AND(G60&lt;&gt;"",J60&lt;&gt;""),G60*J60,"")</f>
        <v>420.39</v>
      </c>
    </row>
    <row r="61" customFormat="false" ht="15" hidden="false" customHeight="false" outlineLevel="0" collapsed="false">
      <c r="A61" s="2" t="s">
        <v>32</v>
      </c>
      <c r="B61" s="3" t="s">
        <v>37</v>
      </c>
      <c r="C61" s="3" t="s">
        <v>13</v>
      </c>
      <c r="D61" s="3" t="n">
        <v>48</v>
      </c>
      <c r="E61" s="3" t="n">
        <v>88</v>
      </c>
      <c r="F61" s="3" t="n">
        <v>3</v>
      </c>
      <c r="G61" s="3" t="n">
        <f aca="false">E61*1+F61*3</f>
        <v>97</v>
      </c>
      <c r="H61" s="3" t="n">
        <v>38</v>
      </c>
      <c r="I61" s="3" t="n">
        <v>188.86</v>
      </c>
      <c r="J61" s="3" t="n">
        <v>4.97</v>
      </c>
      <c r="K61" s="3" t="n">
        <f aca="false">IF(AND(G61&lt;&gt;"",J61&lt;&gt;""),G61*J61,"")</f>
        <v>482.09</v>
      </c>
    </row>
    <row r="62" customFormat="false" ht="15" hidden="false" customHeight="false" outlineLevel="0" collapsed="false">
      <c r="A62" s="2" t="s">
        <v>11</v>
      </c>
      <c r="B62" s="3" t="s">
        <v>41</v>
      </c>
      <c r="C62" s="3" t="s">
        <v>13</v>
      </c>
      <c r="D62" s="3" t="n">
        <v>51</v>
      </c>
      <c r="E62" s="3" t="n">
        <v>76</v>
      </c>
      <c r="F62" s="3" t="n">
        <v>1</v>
      </c>
      <c r="G62" s="3" t="n">
        <f aca="false">E62*1+F62*3</f>
        <v>79</v>
      </c>
      <c r="H62" s="3" t="n">
        <v>42</v>
      </c>
      <c r="I62" s="3" t="n">
        <v>436.05</v>
      </c>
      <c r="J62" s="3" t="n">
        <v>10.38</v>
      </c>
      <c r="K62" s="3" t="n">
        <f aca="false">IF(AND(G62&lt;&gt;"",J62&lt;&gt;""),G62*J62,"")</f>
        <v>820.02</v>
      </c>
    </row>
    <row r="63" customFormat="false" ht="15" hidden="false" customHeight="false" outlineLevel="0" collapsed="false">
      <c r="A63" s="2" t="s">
        <v>15</v>
      </c>
      <c r="B63" s="3" t="s">
        <v>41</v>
      </c>
      <c r="C63" s="3" t="s">
        <v>13</v>
      </c>
      <c r="D63" s="3" t="n">
        <v>58.1</v>
      </c>
      <c r="E63" s="3" t="n">
        <v>85</v>
      </c>
      <c r="F63" s="3" t="n">
        <v>2</v>
      </c>
      <c r="G63" s="3" t="n">
        <f aca="false">E63*1+F63*3</f>
        <v>91</v>
      </c>
      <c r="H63" s="3" t="n">
        <v>37</v>
      </c>
      <c r="I63" s="3" t="n">
        <v>349.3</v>
      </c>
      <c r="J63" s="3" t="n">
        <v>9.44</v>
      </c>
      <c r="K63" s="3" t="n">
        <f aca="false">IF(AND(G63&lt;&gt;"",J63&lt;&gt;""),G63*J63,"")</f>
        <v>859.04</v>
      </c>
    </row>
    <row r="64" customFormat="false" ht="15" hidden="false" customHeight="false" outlineLevel="0" collapsed="false">
      <c r="A64" s="2" t="s">
        <v>16</v>
      </c>
      <c r="B64" s="3" t="s">
        <v>41</v>
      </c>
      <c r="C64" s="3" t="s">
        <v>13</v>
      </c>
      <c r="D64" s="3" t="n">
        <v>42.1</v>
      </c>
      <c r="E64" s="3" t="n">
        <v>77</v>
      </c>
      <c r="F64" s="3" t="n">
        <v>4</v>
      </c>
      <c r="G64" s="3" t="n">
        <f aca="false">E64*1+F64*3</f>
        <v>89</v>
      </c>
      <c r="H64" s="3" t="n">
        <v>38</v>
      </c>
      <c r="I64" s="3" t="n">
        <v>92.23</v>
      </c>
      <c r="J64" s="3" t="n">
        <v>2.43</v>
      </c>
      <c r="K64" s="3" t="n">
        <f aca="false">IF(AND(G64&lt;&gt;"",J64&lt;&gt;""),G64*J64,"")</f>
        <v>216.27</v>
      </c>
    </row>
    <row r="65" customFormat="false" ht="15" hidden="false" customHeight="false" outlineLevel="0" collapsed="false">
      <c r="A65" s="2" t="s">
        <v>34</v>
      </c>
      <c r="B65" s="3" t="s">
        <v>41</v>
      </c>
      <c r="C65" s="3" t="s">
        <v>13</v>
      </c>
      <c r="D65" s="3" t="n">
        <v>44</v>
      </c>
      <c r="E65" s="3" t="n">
        <v>88</v>
      </c>
      <c r="F65" s="3" t="n">
        <v>1</v>
      </c>
      <c r="G65" s="3" t="n">
        <f aca="false">E65*1+F65*3</f>
        <v>91</v>
      </c>
      <c r="H65" s="3" t="n">
        <v>47</v>
      </c>
      <c r="I65" s="3" t="n">
        <v>102.33</v>
      </c>
      <c r="J65" s="3" t="n">
        <v>2.18</v>
      </c>
      <c r="K65" s="3" t="n">
        <f aca="false">IF(AND(G65&lt;&gt;"",J65&lt;&gt;""),G65*J65,"")</f>
        <v>198.38</v>
      </c>
    </row>
    <row r="66" customFormat="false" ht="15" hidden="false" customHeight="false" outlineLevel="0" collapsed="false">
      <c r="A66" s="2" t="s">
        <v>18</v>
      </c>
      <c r="B66" s="3" t="s">
        <v>41</v>
      </c>
      <c r="C66" s="3" t="s">
        <v>13</v>
      </c>
      <c r="D66" s="3" t="n">
        <v>57.4</v>
      </c>
      <c r="E66" s="3" t="n">
        <v>80</v>
      </c>
      <c r="F66" s="3" t="n">
        <v>0</v>
      </c>
      <c r="G66" s="3" t="n">
        <f aca="false">E66*1+F66*3</f>
        <v>80</v>
      </c>
      <c r="H66" s="3" t="n">
        <v>41</v>
      </c>
      <c r="I66" s="3" t="n">
        <v>284.1</v>
      </c>
      <c r="J66" s="3" t="n">
        <v>6.93</v>
      </c>
      <c r="K66" s="3" t="n">
        <f aca="false">IF(AND(G66&lt;&gt;"",J66&lt;&gt;""),G66*J66,"")</f>
        <v>554.4</v>
      </c>
    </row>
    <row r="67" customFormat="false" ht="15" hidden="false" customHeight="false" outlineLevel="0" collapsed="false">
      <c r="A67" s="2" t="s">
        <v>42</v>
      </c>
      <c r="B67" s="3" t="s">
        <v>41</v>
      </c>
      <c r="C67" s="3" t="s">
        <v>13</v>
      </c>
      <c r="D67" s="3" t="n">
        <v>49.7</v>
      </c>
      <c r="E67" s="3" t="n">
        <v>68</v>
      </c>
      <c r="F67" s="3" t="n">
        <v>2</v>
      </c>
      <c r="G67" s="3" t="n">
        <f aca="false">E67*1+F67*3</f>
        <v>74</v>
      </c>
      <c r="H67" s="3" t="n">
        <v>48</v>
      </c>
      <c r="I67" s="3" t="n">
        <v>108.4</v>
      </c>
      <c r="J67" s="3" t="n">
        <v>2.26</v>
      </c>
      <c r="K67" s="3" t="n">
        <f aca="false">IF(AND(G67&lt;&gt;"",J67&lt;&gt;""),G67*J67,"")</f>
        <v>167.24</v>
      </c>
    </row>
    <row r="68" customFormat="false" ht="15" hidden="false" customHeight="false" outlineLevel="0" collapsed="false">
      <c r="A68" s="2" t="s">
        <v>19</v>
      </c>
      <c r="B68" s="3" t="s">
        <v>41</v>
      </c>
      <c r="C68" s="3" t="s">
        <v>13</v>
      </c>
      <c r="D68" s="3" t="n">
        <v>44.1</v>
      </c>
      <c r="E68" s="3" t="n">
        <v>79</v>
      </c>
      <c r="F68" s="3" t="n">
        <v>3</v>
      </c>
      <c r="G68" s="3" t="n">
        <f aca="false">E68*1+F68*3</f>
        <v>88</v>
      </c>
      <c r="H68" s="3" t="n">
        <v>44</v>
      </c>
      <c r="I68" s="3" t="n">
        <v>195.4</v>
      </c>
      <c r="J68" s="3" t="n">
        <v>4.44</v>
      </c>
      <c r="K68" s="3" t="n">
        <f aca="false">IF(AND(G68&lt;&gt;"",J68&lt;&gt;""),G68*J68,"")</f>
        <v>390.72</v>
      </c>
    </row>
    <row r="69" customFormat="false" ht="15" hidden="false" customHeight="false" outlineLevel="0" collapsed="false">
      <c r="A69" s="2" t="s">
        <v>20</v>
      </c>
      <c r="B69" s="3" t="s">
        <v>41</v>
      </c>
      <c r="C69" s="3" t="s">
        <v>13</v>
      </c>
      <c r="D69" s="3" t="n">
        <v>44.4</v>
      </c>
      <c r="E69" s="3" t="n">
        <v>88</v>
      </c>
      <c r="F69" s="3" t="n">
        <v>6</v>
      </c>
      <c r="G69" s="3" t="n">
        <f aca="false">E69*1+F69*3</f>
        <v>106</v>
      </c>
      <c r="H69" s="3" t="n">
        <v>50</v>
      </c>
      <c r="I69" s="3" t="n">
        <v>140.7</v>
      </c>
      <c r="J69" s="3" t="n">
        <v>2.81</v>
      </c>
      <c r="K69" s="3" t="n">
        <f aca="false">IF(AND(G69&lt;&gt;"",J69&lt;&gt;""),G69*J69,"")</f>
        <v>297.86</v>
      </c>
    </row>
    <row r="70" customFormat="false" ht="15" hidden="false" customHeight="false" outlineLevel="0" collapsed="false">
      <c r="A70" s="2" t="s">
        <v>21</v>
      </c>
      <c r="B70" s="3" t="s">
        <v>41</v>
      </c>
      <c r="C70" s="3" t="s">
        <v>13</v>
      </c>
      <c r="D70" s="3" t="n">
        <v>57.1</v>
      </c>
      <c r="E70" s="3" t="n">
        <v>46</v>
      </c>
      <c r="F70" s="3" t="n">
        <v>1</v>
      </c>
      <c r="G70" s="3" t="n">
        <f aca="false">E70*1+F70*3</f>
        <v>49</v>
      </c>
      <c r="H70" s="3" t="n">
        <v>35</v>
      </c>
      <c r="I70" s="3" t="n">
        <v>654.85</v>
      </c>
      <c r="J70" s="3" t="n">
        <v>18.71</v>
      </c>
      <c r="K70" s="3" t="n">
        <f aca="false">IF(AND(G70&lt;&gt;"",J70&lt;&gt;""),G70*J70,"")</f>
        <v>916.79</v>
      </c>
    </row>
    <row r="71" customFormat="false" ht="15" hidden="false" customHeight="false" outlineLevel="0" collapsed="false">
      <c r="A71" s="2" t="s">
        <v>22</v>
      </c>
      <c r="B71" s="3" t="s">
        <v>41</v>
      </c>
      <c r="C71" s="3" t="s">
        <v>13</v>
      </c>
      <c r="D71" s="3" t="n">
        <v>48.5</v>
      </c>
      <c r="E71" s="3" t="n">
        <v>87</v>
      </c>
      <c r="F71" s="3" t="n">
        <v>2</v>
      </c>
      <c r="G71" s="3" t="n">
        <f aca="false">E71*1+F71*3</f>
        <v>93</v>
      </c>
      <c r="H71" s="3" t="n">
        <v>39</v>
      </c>
      <c r="I71" s="3" t="n">
        <v>504.53</v>
      </c>
      <c r="J71" s="3" t="n">
        <v>12.94</v>
      </c>
      <c r="K71" s="3" t="n">
        <f aca="false">IF(AND(G71&lt;&gt;"",J71&lt;&gt;""),G71*J71,"")</f>
        <v>1203.42</v>
      </c>
    </row>
    <row r="72" customFormat="false" ht="15" hidden="false" customHeight="false" outlineLevel="0" collapsed="false">
      <c r="A72" s="2" t="s">
        <v>23</v>
      </c>
      <c r="B72" s="3" t="s">
        <v>41</v>
      </c>
      <c r="C72" s="3" t="s">
        <v>13</v>
      </c>
      <c r="D72" s="3" t="n">
        <v>53.3</v>
      </c>
      <c r="E72" s="3" t="n">
        <v>101</v>
      </c>
      <c r="F72" s="3" t="n">
        <v>5</v>
      </c>
      <c r="G72" s="3" t="n">
        <f aca="false">E72*1+F72*3</f>
        <v>116</v>
      </c>
      <c r="H72" s="3" t="n">
        <v>37</v>
      </c>
      <c r="I72" s="3" t="n">
        <v>225.45</v>
      </c>
      <c r="J72" s="3" t="n">
        <v>6.09</v>
      </c>
      <c r="K72" s="3" t="n">
        <f aca="false">IF(AND(G72&lt;&gt;"",J72&lt;&gt;""),G72*J72,"")</f>
        <v>706.44</v>
      </c>
    </row>
    <row r="73" customFormat="false" ht="15" hidden="false" customHeight="false" outlineLevel="0" collapsed="false">
      <c r="A73" s="2" t="s">
        <v>39</v>
      </c>
      <c r="B73" s="3" t="s">
        <v>41</v>
      </c>
      <c r="C73" s="3" t="s">
        <v>13</v>
      </c>
      <c r="D73" s="3" t="n">
        <v>44.9</v>
      </c>
      <c r="E73" s="3" t="n">
        <v>89</v>
      </c>
      <c r="F73" s="3" t="n">
        <v>5</v>
      </c>
      <c r="G73" s="3" t="n">
        <f aca="false">E73*1+F73*3</f>
        <v>104</v>
      </c>
      <c r="H73" s="3" t="n">
        <v>39</v>
      </c>
      <c r="I73" s="3" t="n">
        <v>107.73</v>
      </c>
      <c r="J73" s="3" t="n">
        <v>2.76</v>
      </c>
      <c r="K73" s="3" t="n">
        <f aca="false">IF(AND(G73&lt;&gt;"",J73&lt;&gt;""),G73*J73,"")</f>
        <v>287.04</v>
      </c>
    </row>
    <row r="74" customFormat="false" ht="15" hidden="false" customHeight="false" outlineLevel="0" collapsed="false">
      <c r="A74" s="2" t="s">
        <v>24</v>
      </c>
      <c r="B74" s="3" t="s">
        <v>41</v>
      </c>
      <c r="C74" s="3" t="s">
        <v>13</v>
      </c>
      <c r="D74" s="3" t="n">
        <v>56.9</v>
      </c>
      <c r="E74" s="3" t="n">
        <v>82</v>
      </c>
      <c r="F74" s="3" t="n">
        <v>8</v>
      </c>
      <c r="G74" s="3" t="n">
        <f aca="false">E74*1+F74*3</f>
        <v>106</v>
      </c>
      <c r="H74" s="3" t="n">
        <v>42</v>
      </c>
      <c r="I74" s="3" t="n">
        <v>571.41</v>
      </c>
      <c r="J74" s="3" t="n">
        <v>13.61</v>
      </c>
      <c r="K74" s="3" t="n">
        <f aca="false">IF(AND(G74&lt;&gt;"",J74&lt;&gt;""),G74*J74,"")</f>
        <v>1442.66</v>
      </c>
    </row>
    <row r="75" customFormat="false" ht="15" hidden="false" customHeight="false" outlineLevel="0" collapsed="false">
      <c r="A75" s="2" t="s">
        <v>40</v>
      </c>
      <c r="B75" s="3" t="s">
        <v>41</v>
      </c>
      <c r="C75" s="3" t="s">
        <v>13</v>
      </c>
      <c r="D75" s="3" t="n">
        <v>53.5</v>
      </c>
      <c r="E75" s="3" t="n">
        <v>88</v>
      </c>
      <c r="F75" s="3" t="n">
        <v>5</v>
      </c>
      <c r="G75" s="3" t="n">
        <f aca="false">E75*1+F75*3</f>
        <v>103</v>
      </c>
      <c r="H75" s="3" t="n">
        <v>39</v>
      </c>
      <c r="I75" s="3" t="n">
        <v>143.43</v>
      </c>
      <c r="J75" s="3" t="n">
        <v>3.68</v>
      </c>
      <c r="K75" s="3" t="n">
        <f aca="false">IF(AND(G75&lt;&gt;"",J75&lt;&gt;""),G75*J75,"")</f>
        <v>379.04</v>
      </c>
    </row>
    <row r="76" customFormat="false" ht="15" hidden="false" customHeight="false" outlineLevel="0" collapsed="false">
      <c r="A76" s="2" t="s">
        <v>25</v>
      </c>
      <c r="B76" s="3" t="s">
        <v>41</v>
      </c>
      <c r="C76" s="3" t="s">
        <v>13</v>
      </c>
      <c r="D76" s="3" t="n">
        <v>60.9</v>
      </c>
      <c r="E76" s="3" t="n">
        <v>77</v>
      </c>
      <c r="F76" s="3" t="n">
        <v>5</v>
      </c>
      <c r="G76" s="3" t="n">
        <f aca="false">E76*1+F76*3</f>
        <v>92</v>
      </c>
      <c r="H76" s="3" t="n">
        <v>35</v>
      </c>
      <c r="I76" s="3" t="n">
        <v>515</v>
      </c>
      <c r="J76" s="3" t="n">
        <v>14.71</v>
      </c>
      <c r="K76" s="3" t="n">
        <f aca="false">IF(AND(G76&lt;&gt;"",J76&lt;&gt;""),G76*J76,"")</f>
        <v>1353.32</v>
      </c>
    </row>
    <row r="77" customFormat="false" ht="15" hidden="false" customHeight="false" outlineLevel="0" collapsed="false">
      <c r="A77" s="2" t="s">
        <v>27</v>
      </c>
      <c r="B77" s="3" t="s">
        <v>41</v>
      </c>
      <c r="C77" s="3" t="s">
        <v>13</v>
      </c>
      <c r="D77" s="3" t="n">
        <v>54.9</v>
      </c>
      <c r="E77" s="3" t="n">
        <v>95</v>
      </c>
      <c r="F77" s="3" t="n">
        <v>3</v>
      </c>
      <c r="G77" s="3" t="n">
        <f aca="false">E77*1+F77*3</f>
        <v>104</v>
      </c>
      <c r="H77" s="3" t="n">
        <v>41</v>
      </c>
      <c r="I77" s="3" t="n">
        <v>340.4</v>
      </c>
      <c r="J77" s="3" t="n">
        <v>8.3</v>
      </c>
      <c r="K77" s="3" t="n">
        <f aca="false">IF(AND(G77&lt;&gt;"",J77&lt;&gt;""),G77*J77,"")</f>
        <v>863.2</v>
      </c>
    </row>
    <row r="78" customFormat="false" ht="15" hidden="false" customHeight="false" outlineLevel="0" collapsed="false">
      <c r="A78" s="2" t="s">
        <v>35</v>
      </c>
      <c r="B78" s="3" t="s">
        <v>41</v>
      </c>
      <c r="C78" s="3" t="s">
        <v>13</v>
      </c>
      <c r="D78" s="3" t="n">
        <v>44.5</v>
      </c>
      <c r="E78" s="3" t="n">
        <v>91</v>
      </c>
      <c r="F78" s="3" t="n">
        <v>3</v>
      </c>
      <c r="G78" s="3" t="n">
        <f aca="false">E78*1+F78*3</f>
        <v>100</v>
      </c>
      <c r="H78" s="3" t="n">
        <v>50</v>
      </c>
      <c r="I78" s="3" t="n">
        <v>94.6</v>
      </c>
      <c r="J78" s="3" t="n">
        <v>1.89</v>
      </c>
      <c r="K78" s="3" t="n">
        <f aca="false">IF(AND(G78&lt;&gt;"",J78&lt;&gt;""),G78*J78,"")</f>
        <v>189</v>
      </c>
    </row>
    <row r="79" customFormat="false" ht="15" hidden="false" customHeight="false" outlineLevel="0" collapsed="false">
      <c r="A79" s="2" t="s">
        <v>29</v>
      </c>
      <c r="B79" s="3" t="s">
        <v>41</v>
      </c>
      <c r="C79" s="3" t="s">
        <v>13</v>
      </c>
      <c r="D79" s="3" t="n">
        <v>43.8</v>
      </c>
      <c r="E79" s="3" t="n">
        <v>71</v>
      </c>
      <c r="F79" s="3" t="n">
        <v>4</v>
      </c>
      <c r="G79" s="3" t="n">
        <f aca="false">E79*1+F79*3</f>
        <v>83</v>
      </c>
      <c r="H79" s="3" t="n">
        <v>38</v>
      </c>
      <c r="I79" s="3" t="n">
        <v>139.54</v>
      </c>
      <c r="J79" s="3" t="n">
        <v>3.67</v>
      </c>
      <c r="K79" s="3" t="n">
        <f aca="false">IF(AND(G79&lt;&gt;"",J79&lt;&gt;""),G79*J79,"")</f>
        <v>304.61</v>
      </c>
    </row>
    <row r="80" customFormat="false" ht="15" hidden="false" customHeight="false" outlineLevel="0" collapsed="false">
      <c r="A80" s="2" t="s">
        <v>31</v>
      </c>
      <c r="B80" s="3" t="s">
        <v>41</v>
      </c>
      <c r="C80" s="3" t="s">
        <v>13</v>
      </c>
      <c r="D80" s="3" t="n">
        <v>51.6</v>
      </c>
      <c r="E80" s="3" t="n">
        <v>75</v>
      </c>
      <c r="F80" s="3" t="n">
        <v>2</v>
      </c>
      <c r="G80" s="3" t="n">
        <f aca="false">E80*1+F80*3</f>
        <v>81</v>
      </c>
      <c r="H80" s="3" t="n">
        <v>45</v>
      </c>
      <c r="I80" s="3" t="n">
        <v>232.73</v>
      </c>
      <c r="J80" s="3" t="n">
        <v>5.17</v>
      </c>
      <c r="K80" s="3" t="n">
        <f aca="false">IF(AND(G80&lt;&gt;"",J80&lt;&gt;""),G80*J80,"")</f>
        <v>418.77</v>
      </c>
    </row>
    <row r="81" customFormat="false" ht="15" hidden="false" customHeight="false" outlineLevel="0" collapsed="false">
      <c r="A81" s="2" t="s">
        <v>32</v>
      </c>
      <c r="B81" s="3" t="s">
        <v>41</v>
      </c>
      <c r="C81" s="3" t="s">
        <v>13</v>
      </c>
      <c r="D81" s="3" t="n">
        <v>39.3</v>
      </c>
      <c r="E81" s="3" t="n">
        <v>94</v>
      </c>
      <c r="F81" s="3" t="n">
        <v>5</v>
      </c>
      <c r="G81" s="3" t="n">
        <f aca="false">E81*1+F81*3</f>
        <v>109</v>
      </c>
      <c r="H81" s="3" t="n">
        <v>45</v>
      </c>
      <c r="I81" s="3" t="n">
        <v>170.06</v>
      </c>
      <c r="J81" s="3" t="n">
        <v>3.78</v>
      </c>
      <c r="K81" s="3" t="n">
        <f aca="false">IF(AND(G81&lt;&gt;"",J81&lt;&gt;""),G81*J81,"")</f>
        <v>412.02</v>
      </c>
    </row>
    <row r="82" customFormat="false" ht="15" hidden="false" customHeight="false" outlineLevel="0" collapsed="false">
      <c r="A82" s="2" t="s">
        <v>11</v>
      </c>
      <c r="B82" s="3" t="s">
        <v>43</v>
      </c>
      <c r="C82" s="3" t="s">
        <v>13</v>
      </c>
      <c r="D82" s="3" t="n">
        <v>55.3</v>
      </c>
      <c r="E82" s="3" t="n">
        <v>67</v>
      </c>
      <c r="F82" s="3" t="n">
        <v>1</v>
      </c>
      <c r="G82" s="3" t="n">
        <f aca="false">E82*1+F82*3</f>
        <v>70</v>
      </c>
      <c r="H82" s="3" t="n">
        <v>44</v>
      </c>
      <c r="I82" s="3" t="n">
        <v>501.2</v>
      </c>
      <c r="J82" s="3" t="n">
        <v>11.39</v>
      </c>
      <c r="K82" s="3" t="n">
        <f aca="false">IF(AND(G82&lt;&gt;"",J82&lt;&gt;""),G82*J82,"")</f>
        <v>797.3</v>
      </c>
    </row>
    <row r="83" customFormat="false" ht="15" hidden="false" customHeight="false" outlineLevel="0" collapsed="false">
      <c r="A83" s="2" t="s">
        <v>15</v>
      </c>
      <c r="B83" s="3" t="s">
        <v>43</v>
      </c>
      <c r="C83" s="3" t="s">
        <v>13</v>
      </c>
      <c r="D83" s="3" t="n">
        <v>58.1</v>
      </c>
      <c r="E83" s="3" t="n">
        <v>61</v>
      </c>
      <c r="F83" s="3" t="n">
        <v>4</v>
      </c>
      <c r="G83" s="3" t="n">
        <f aca="false">E83*1+F83*3</f>
        <v>73</v>
      </c>
      <c r="H83" s="3" t="n">
        <v>38</v>
      </c>
      <c r="I83" s="3" t="n">
        <v>340.65</v>
      </c>
      <c r="J83" s="3" t="n">
        <v>8.96</v>
      </c>
      <c r="K83" s="3" t="n">
        <f aca="false">IF(AND(G83&lt;&gt;"",J83&lt;&gt;""),G83*J83,"")</f>
        <v>654.08</v>
      </c>
    </row>
    <row r="84" customFormat="false" ht="15" hidden="false" customHeight="false" outlineLevel="0" collapsed="false">
      <c r="A84" s="2" t="s">
        <v>16</v>
      </c>
      <c r="B84" s="3" t="s">
        <v>43</v>
      </c>
      <c r="C84" s="3" t="s">
        <v>13</v>
      </c>
      <c r="D84" s="3" t="n">
        <v>44.9</v>
      </c>
      <c r="E84" s="3" t="n">
        <v>68</v>
      </c>
      <c r="F84" s="3" t="n">
        <v>3</v>
      </c>
      <c r="G84" s="3" t="n">
        <f aca="false">E84*1+F84*3</f>
        <v>77</v>
      </c>
      <c r="H84" s="3" t="n">
        <v>36</v>
      </c>
      <c r="I84" s="3" t="n">
        <v>93.63</v>
      </c>
      <c r="J84" s="3" t="n">
        <v>2.6</v>
      </c>
      <c r="K84" s="3" t="n">
        <f aca="false">IF(AND(G84&lt;&gt;"",J84&lt;&gt;""),G84*J84,"")</f>
        <v>200.2</v>
      </c>
    </row>
    <row r="85" customFormat="false" ht="15" hidden="false" customHeight="false" outlineLevel="0" collapsed="false">
      <c r="A85" s="2" t="s">
        <v>44</v>
      </c>
      <c r="B85" s="3" t="s">
        <v>43</v>
      </c>
      <c r="C85" s="3" t="s">
        <v>13</v>
      </c>
      <c r="D85" s="3" t="n">
        <v>54.6</v>
      </c>
      <c r="E85" s="3" t="n">
        <v>87</v>
      </c>
      <c r="F85" s="3" t="n">
        <v>7</v>
      </c>
      <c r="G85" s="3" t="n">
        <f aca="false">E85*1+F85*3</f>
        <v>108</v>
      </c>
      <c r="H85" s="3" t="n">
        <v>51</v>
      </c>
      <c r="I85" s="3" t="n">
        <v>203.43</v>
      </c>
      <c r="J85" s="3" t="n">
        <v>3.99</v>
      </c>
      <c r="K85" s="3" t="n">
        <f aca="false">IF(AND(G85&lt;&gt;"",J85&lt;&gt;""),G85*J85,"")</f>
        <v>430.92</v>
      </c>
    </row>
    <row r="86" customFormat="false" ht="15" hidden="false" customHeight="false" outlineLevel="0" collapsed="false">
      <c r="A86" s="2" t="s">
        <v>34</v>
      </c>
      <c r="B86" s="3" t="s">
        <v>43</v>
      </c>
      <c r="C86" s="3" t="s">
        <v>13</v>
      </c>
      <c r="D86" s="3" t="n">
        <v>41.7</v>
      </c>
      <c r="E86" s="3" t="n">
        <v>68</v>
      </c>
      <c r="F86" s="3" t="n">
        <v>5</v>
      </c>
      <c r="G86" s="3" t="n">
        <f aca="false">E86*1+F86*3</f>
        <v>83</v>
      </c>
      <c r="H86" s="3" t="n">
        <v>52</v>
      </c>
      <c r="I86" s="3" t="n">
        <v>106.58</v>
      </c>
      <c r="J86" s="3" t="n">
        <v>2.05</v>
      </c>
      <c r="K86" s="3" t="n">
        <f aca="false">IF(AND(G86&lt;&gt;"",J86&lt;&gt;""),G86*J86,"")</f>
        <v>170.15</v>
      </c>
    </row>
    <row r="87" customFormat="false" ht="15" hidden="false" customHeight="false" outlineLevel="0" collapsed="false">
      <c r="A87" s="2" t="s">
        <v>18</v>
      </c>
      <c r="B87" s="3" t="s">
        <v>43</v>
      </c>
      <c r="C87" s="3" t="s">
        <v>13</v>
      </c>
      <c r="D87" s="3" t="n">
        <v>51</v>
      </c>
      <c r="E87" s="3" t="n">
        <v>82</v>
      </c>
      <c r="F87" s="3" t="n">
        <v>3</v>
      </c>
      <c r="G87" s="3" t="n">
        <f aca="false">E87*1+F87*3</f>
        <v>91</v>
      </c>
      <c r="H87" s="3" t="n">
        <v>44</v>
      </c>
      <c r="I87" s="3" t="n">
        <v>368.13</v>
      </c>
      <c r="J87" s="3" t="n">
        <v>8.37</v>
      </c>
      <c r="K87" s="3" t="n">
        <f aca="false">IF(AND(G87&lt;&gt;"",J87&lt;&gt;""),G87*J87,"")</f>
        <v>761.67</v>
      </c>
    </row>
    <row r="88" customFormat="false" ht="15" hidden="false" customHeight="false" outlineLevel="0" collapsed="false">
      <c r="A88" s="2" t="s">
        <v>19</v>
      </c>
      <c r="B88" s="3" t="s">
        <v>43</v>
      </c>
      <c r="C88" s="3" t="s">
        <v>13</v>
      </c>
      <c r="D88" s="3" t="n">
        <v>45.6</v>
      </c>
      <c r="E88" s="3" t="n">
        <v>71</v>
      </c>
      <c r="F88" s="3" t="n">
        <v>1</v>
      </c>
      <c r="G88" s="3" t="n">
        <f aca="false">E88*1+F88*3</f>
        <v>74</v>
      </c>
      <c r="H88" s="3" t="n">
        <v>48</v>
      </c>
      <c r="I88" s="3" t="n">
        <v>175.35</v>
      </c>
      <c r="J88" s="3" t="n">
        <v>3.65</v>
      </c>
      <c r="K88" s="3" t="n">
        <f aca="false">IF(AND(G88&lt;&gt;"",J88&lt;&gt;""),G88*J88,"")</f>
        <v>270.1</v>
      </c>
    </row>
    <row r="89" customFormat="false" ht="15" hidden="false" customHeight="false" outlineLevel="0" collapsed="false">
      <c r="A89" s="2" t="s">
        <v>20</v>
      </c>
      <c r="B89" s="3" t="s">
        <v>43</v>
      </c>
      <c r="C89" s="3" t="s">
        <v>13</v>
      </c>
      <c r="D89" s="3" t="n">
        <v>38.7</v>
      </c>
      <c r="E89" s="3" t="n">
        <v>98</v>
      </c>
      <c r="F89" s="3" t="n">
        <v>9</v>
      </c>
      <c r="G89" s="3" t="n">
        <f aca="false">E89*1+F89*3</f>
        <v>125</v>
      </c>
      <c r="H89" s="3" t="n">
        <v>42</v>
      </c>
      <c r="I89" s="3" t="n">
        <v>107.35</v>
      </c>
      <c r="J89" s="3" t="n">
        <v>2.56</v>
      </c>
      <c r="K89" s="3" t="n">
        <f aca="false">IF(AND(G89&lt;&gt;"",J89&lt;&gt;""),G89*J89,"")</f>
        <v>320</v>
      </c>
    </row>
    <row r="90" customFormat="false" ht="15" hidden="false" customHeight="false" outlineLevel="0" collapsed="false">
      <c r="A90" s="2" t="s">
        <v>21</v>
      </c>
      <c r="B90" s="3" t="s">
        <v>43</v>
      </c>
      <c r="C90" s="3" t="s">
        <v>13</v>
      </c>
      <c r="D90" s="3" t="n">
        <v>59.4</v>
      </c>
      <c r="E90" s="3" t="n">
        <v>56</v>
      </c>
      <c r="F90" s="3" t="n">
        <v>1</v>
      </c>
      <c r="G90" s="3" t="n">
        <f aca="false">E90*1+F90*3</f>
        <v>59</v>
      </c>
      <c r="H90" s="3" t="n">
        <v>46</v>
      </c>
      <c r="I90" s="3" t="n">
        <v>741.85</v>
      </c>
      <c r="J90" s="3" t="n">
        <v>16.13</v>
      </c>
      <c r="K90" s="3" t="n">
        <f aca="false">IF(AND(G90&lt;&gt;"",J90&lt;&gt;""),G90*J90,"")</f>
        <v>951.67</v>
      </c>
    </row>
    <row r="91" customFormat="false" ht="15" hidden="false" customHeight="false" outlineLevel="0" collapsed="false">
      <c r="A91" s="2" t="s">
        <v>22</v>
      </c>
      <c r="B91" s="3" t="s">
        <v>43</v>
      </c>
      <c r="C91" s="3" t="s">
        <v>13</v>
      </c>
      <c r="D91" s="3" t="n">
        <v>57.2</v>
      </c>
      <c r="E91" s="3" t="n">
        <v>67</v>
      </c>
      <c r="F91" s="3" t="n">
        <v>3</v>
      </c>
      <c r="G91" s="3" t="n">
        <f aca="false">E91*1+F91*3</f>
        <v>76</v>
      </c>
      <c r="H91" s="3" t="n">
        <v>43</v>
      </c>
      <c r="I91" s="3" t="n">
        <v>628.73</v>
      </c>
      <c r="J91" s="3" t="n">
        <v>14.62</v>
      </c>
      <c r="K91" s="3" t="n">
        <f aca="false">IF(AND(G91&lt;&gt;"",J91&lt;&gt;""),G91*J91,"")</f>
        <v>1111.12</v>
      </c>
    </row>
    <row r="92" customFormat="false" ht="15" hidden="false" customHeight="false" outlineLevel="0" collapsed="false">
      <c r="A92" s="2" t="s">
        <v>23</v>
      </c>
      <c r="B92" s="3" t="s">
        <v>43</v>
      </c>
      <c r="C92" s="3" t="s">
        <v>13</v>
      </c>
      <c r="D92" s="3" t="n">
        <v>55.1</v>
      </c>
      <c r="E92" s="3" t="n">
        <v>93</v>
      </c>
      <c r="F92" s="3" t="n">
        <v>7</v>
      </c>
      <c r="G92" s="3" t="n">
        <f aca="false">E92*1+F92*3</f>
        <v>114</v>
      </c>
      <c r="H92" s="3" t="n">
        <v>41</v>
      </c>
      <c r="I92" s="3" t="n">
        <v>294.9</v>
      </c>
      <c r="J92" s="3" t="n">
        <v>7.19</v>
      </c>
      <c r="K92" s="3" t="n">
        <f aca="false">IF(AND(G92&lt;&gt;"",J92&lt;&gt;""),G92*J92,"")</f>
        <v>819.66</v>
      </c>
    </row>
    <row r="93" customFormat="false" ht="15" hidden="false" customHeight="false" outlineLevel="0" collapsed="false">
      <c r="A93" s="2" t="s">
        <v>39</v>
      </c>
      <c r="B93" s="3" t="s">
        <v>43</v>
      </c>
      <c r="C93" s="3" t="s">
        <v>13</v>
      </c>
      <c r="D93" s="3" t="n">
        <v>43.8</v>
      </c>
      <c r="E93" s="3" t="n">
        <v>61</v>
      </c>
      <c r="F93" s="3" t="n">
        <v>7</v>
      </c>
      <c r="G93" s="3" t="n">
        <f aca="false">E93*1+F93*3</f>
        <v>82</v>
      </c>
      <c r="H93" s="3" t="n">
        <v>44</v>
      </c>
      <c r="I93" s="3" t="n">
        <v>113.43</v>
      </c>
      <c r="J93" s="3" t="n">
        <v>2.58</v>
      </c>
      <c r="K93" s="3" t="n">
        <f aca="false">IF(AND(G93&lt;&gt;"",J93&lt;&gt;""),G93*J93,"")</f>
        <v>211.56</v>
      </c>
    </row>
    <row r="94" customFormat="false" ht="15" hidden="false" customHeight="false" outlineLevel="0" collapsed="false">
      <c r="A94" s="2" t="s">
        <v>24</v>
      </c>
      <c r="B94" s="3" t="s">
        <v>43</v>
      </c>
      <c r="C94" s="3" t="s">
        <v>13</v>
      </c>
      <c r="D94" s="3" t="n">
        <v>53.9</v>
      </c>
      <c r="E94" s="3" t="n">
        <v>70</v>
      </c>
      <c r="F94" s="3" t="n">
        <v>6</v>
      </c>
      <c r="G94" s="3" t="n">
        <f aca="false">E94*1+F94*3</f>
        <v>88</v>
      </c>
      <c r="H94" s="3" t="n">
        <v>41</v>
      </c>
      <c r="I94" s="3" t="n">
        <v>581.7</v>
      </c>
      <c r="J94" s="3" t="n">
        <v>14.19</v>
      </c>
      <c r="K94" s="3" t="n">
        <f aca="false">IF(AND(G94&lt;&gt;"",J94&lt;&gt;""),G94*J94,"")</f>
        <v>1248.72</v>
      </c>
    </row>
    <row r="95" customFormat="false" ht="15" hidden="false" customHeight="false" outlineLevel="0" collapsed="false">
      <c r="A95" s="2" t="s">
        <v>40</v>
      </c>
      <c r="B95" s="3" t="s">
        <v>43</v>
      </c>
      <c r="C95" s="3" t="s">
        <v>13</v>
      </c>
      <c r="D95" s="3" t="n">
        <v>48.5</v>
      </c>
      <c r="E95" s="3" t="n">
        <v>90</v>
      </c>
      <c r="F95" s="3" t="n">
        <v>3</v>
      </c>
      <c r="G95" s="3" t="n">
        <f aca="false">E95*1+F95*3</f>
        <v>99</v>
      </c>
      <c r="H95" s="3" t="n">
        <v>46</v>
      </c>
      <c r="I95" s="3" t="n">
        <v>95.83</v>
      </c>
      <c r="J95" s="3" t="n">
        <v>2.08</v>
      </c>
      <c r="K95" s="3" t="n">
        <f aca="false">IF(AND(G95&lt;&gt;"",J95&lt;&gt;""),G95*J95,"")</f>
        <v>205.92</v>
      </c>
    </row>
    <row r="96" customFormat="false" ht="15" hidden="false" customHeight="false" outlineLevel="0" collapsed="false">
      <c r="A96" s="2" t="s">
        <v>25</v>
      </c>
      <c r="B96" s="3" t="s">
        <v>43</v>
      </c>
      <c r="C96" s="3" t="s">
        <v>13</v>
      </c>
      <c r="D96" s="3" t="n">
        <v>54.6</v>
      </c>
      <c r="E96" s="3" t="n">
        <v>47</v>
      </c>
      <c r="F96" s="3" t="n">
        <v>0</v>
      </c>
      <c r="G96" s="3" t="n">
        <f aca="false">E96*1+F96*3</f>
        <v>47</v>
      </c>
      <c r="H96" s="3" t="n">
        <v>37</v>
      </c>
      <c r="I96" s="3" t="n">
        <v>500.45</v>
      </c>
      <c r="J96" s="3" t="n">
        <v>13.53</v>
      </c>
      <c r="K96" s="3" t="n">
        <f aca="false">IF(AND(G96&lt;&gt;"",J96&lt;&gt;""),G96*J96,"")</f>
        <v>635.91</v>
      </c>
    </row>
    <row r="97" customFormat="false" ht="15" hidden="false" customHeight="false" outlineLevel="0" collapsed="false">
      <c r="A97" s="2" t="s">
        <v>26</v>
      </c>
      <c r="B97" s="3" t="s">
        <v>43</v>
      </c>
      <c r="C97" s="3" t="s">
        <v>13</v>
      </c>
      <c r="D97" s="3" t="n">
        <v>44.2</v>
      </c>
      <c r="E97" s="3" t="n">
        <v>78</v>
      </c>
      <c r="F97" s="3" t="n">
        <v>6</v>
      </c>
      <c r="G97" s="3" t="n">
        <f aca="false">E97*1+F97*3</f>
        <v>96</v>
      </c>
      <c r="H97" s="3" t="n">
        <v>40</v>
      </c>
      <c r="I97" s="3" t="n">
        <v>175.11</v>
      </c>
      <c r="J97" s="3" t="n">
        <v>4.38</v>
      </c>
      <c r="K97" s="3" t="n">
        <f aca="false">IF(AND(G97&lt;&gt;"",J97&lt;&gt;""),G97*J97,"")</f>
        <v>420.48</v>
      </c>
    </row>
    <row r="98" customFormat="false" ht="15" hidden="false" customHeight="false" outlineLevel="0" collapsed="false">
      <c r="A98" s="2" t="s">
        <v>27</v>
      </c>
      <c r="B98" s="3" t="s">
        <v>43</v>
      </c>
      <c r="C98" s="3" t="s">
        <v>13</v>
      </c>
      <c r="D98" s="3" t="n">
        <v>53.9</v>
      </c>
      <c r="E98" s="3" t="n">
        <v>66</v>
      </c>
      <c r="F98" s="3" t="n">
        <v>1</v>
      </c>
      <c r="G98" s="3" t="n">
        <f aca="false">E98*1+F98*3</f>
        <v>69</v>
      </c>
      <c r="H98" s="3" t="n">
        <v>39</v>
      </c>
      <c r="I98" s="3" t="n">
        <v>390.3</v>
      </c>
      <c r="J98" s="3" t="n">
        <v>10.01</v>
      </c>
      <c r="K98" s="3" t="n">
        <f aca="false">IF(AND(G98&lt;&gt;"",J98&lt;&gt;""),G98*J98,"")</f>
        <v>690.69</v>
      </c>
    </row>
    <row r="99" customFormat="false" ht="15" hidden="false" customHeight="false" outlineLevel="0" collapsed="false">
      <c r="A99" s="2" t="s">
        <v>31</v>
      </c>
      <c r="B99" s="3" t="s">
        <v>43</v>
      </c>
      <c r="C99" s="3" t="s">
        <v>13</v>
      </c>
      <c r="D99" s="3" t="n">
        <v>47.5</v>
      </c>
      <c r="E99" s="3" t="n">
        <v>80</v>
      </c>
      <c r="F99" s="3" t="n">
        <v>3</v>
      </c>
      <c r="G99" s="3" t="n">
        <f aca="false">E99*1+F99*3</f>
        <v>89</v>
      </c>
      <c r="H99" s="3" t="n">
        <v>48</v>
      </c>
      <c r="I99" s="3" t="n">
        <v>219.28</v>
      </c>
      <c r="J99" s="3" t="n">
        <v>4.57</v>
      </c>
      <c r="K99" s="3" t="n">
        <f aca="false">IF(AND(G99&lt;&gt;"",J99&lt;&gt;""),G99*J99,"")</f>
        <v>406.73</v>
      </c>
    </row>
    <row r="100" customFormat="false" ht="15" hidden="false" customHeight="false" outlineLevel="0" collapsed="false">
      <c r="A100" s="2" t="s">
        <v>32</v>
      </c>
      <c r="B100" s="3" t="s">
        <v>43</v>
      </c>
      <c r="C100" s="3" t="s">
        <v>13</v>
      </c>
      <c r="D100" s="3" t="n">
        <v>47.2</v>
      </c>
      <c r="E100" s="3" t="n">
        <v>88</v>
      </c>
      <c r="F100" s="3" t="n">
        <v>5</v>
      </c>
      <c r="G100" s="3" t="n">
        <f aca="false">E100*1+F100*3</f>
        <v>103</v>
      </c>
      <c r="H100" s="3" t="n">
        <v>40</v>
      </c>
      <c r="I100" s="3" t="n">
        <v>198.9</v>
      </c>
      <c r="J100" s="3" t="n">
        <v>4.97</v>
      </c>
      <c r="K100" s="3" t="n">
        <f aca="false">IF(AND(G100&lt;&gt;"",J100&lt;&gt;""),G100*J100,"")</f>
        <v>511.91</v>
      </c>
    </row>
    <row r="101" customFormat="false" ht="15" hidden="false" customHeight="false" outlineLevel="0" collapsed="false">
      <c r="A101" s="2" t="s">
        <v>36</v>
      </c>
      <c r="B101" s="3" t="s">
        <v>43</v>
      </c>
      <c r="C101" s="3" t="s">
        <v>13</v>
      </c>
      <c r="D101" s="3" t="n">
        <v>45.1</v>
      </c>
      <c r="E101" s="3" t="n">
        <v>75</v>
      </c>
      <c r="F101" s="3" t="n">
        <v>2</v>
      </c>
      <c r="G101" s="3" t="n">
        <f aca="false">E101*1+F101*3</f>
        <v>81</v>
      </c>
      <c r="H101" s="3" t="n">
        <v>41</v>
      </c>
      <c r="I101" s="3" t="n">
        <v>95.6</v>
      </c>
      <c r="J101" s="3" t="n">
        <v>2.33</v>
      </c>
      <c r="K101" s="3" t="n">
        <f aca="false">IF(AND(G101&lt;&gt;"",J101&lt;&gt;""),G101*J101,"")</f>
        <v>188.73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2026-04-12T16:05:53Z</dcterms:created>
  <dc:creator>openpyxl</dc:creator>
  <dc:description/>
  <dc:language>en-US</dc:language>
  <cp:lastModifiedBy/>
  <dcterms:modified xsi:type="dcterms:W3CDTF">2026-04-12T16:05:53Z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